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kko\Downloads\"/>
    </mc:Choice>
  </mc:AlternateContent>
  <xr:revisionPtr revIDLastSave="0" documentId="13_ncr:1_{A00A8AAB-103F-40E7-8B74-DC3D13BC625B}" xr6:coauthVersionLast="47" xr6:coauthVersionMax="47" xr10:uidLastSave="{00000000-0000-0000-0000-000000000000}"/>
  <bookViews>
    <workbookView xWindow="0" yWindow="420" windowWidth="29040" windowHeight="15615" tabRatio="757" activeTab="1" xr2:uid="{00000000-000D-0000-FFFF-FFFF00000000}"/>
  </bookViews>
  <sheets>
    <sheet name="Tabela de Transferência" sheetId="16" r:id="rId1"/>
    <sheet name="UC_DADOS" sheetId="1" r:id="rId2"/>
    <sheet name="FATURAS" sheetId="5" r:id="rId3"/>
    <sheet name="Sistemas de Cond. Ambiental" sheetId="9" r:id="rId4"/>
    <sheet name="Sistemas de Iluminação" sheetId="11" r:id="rId5"/>
    <sheet name="Sistemas de Refrigeração" sheetId="10" r:id="rId6"/>
    <sheet name="Sistemas Outros" sheetId="13" r:id="rId7"/>
    <sheet name="Sistemas de Motor" sheetId="12" r:id="rId8"/>
    <sheet name="TABELAS_RESUMO" sheetId="3" r:id="rId9"/>
    <sheet name="TABELAS_RESUMO_2" sheetId="4" r:id="rId10"/>
    <sheet name="CONSUMO_EQP" sheetId="7" r:id="rId11"/>
    <sheet name="Análise Econômica" sheetId="6" r:id="rId12"/>
    <sheet name="EQUIPAMENTOS_EFICIENTES (BDD)" sheetId="8" r:id="rId13"/>
    <sheet name="Sistemas de Aquecimento de Água" sheetId="14" r:id="rId14"/>
    <sheet name="Sistemas Solar Fotovoltaico" sheetId="15" r:id="rId15"/>
  </sheets>
  <externalReferences>
    <externalReference r:id="rId16"/>
  </externalReferences>
  <definedNames>
    <definedName name="_xlnm._FilterDatabase" localSheetId="2" hidden="1">FATURAS!$A$1:$CW$13</definedName>
    <definedName name="_xlnm._FilterDatabase" localSheetId="3" hidden="1">'Sistemas de Cond. Ambiental'!$A$2:$AP$45</definedName>
    <definedName name="_xlnm._FilterDatabase" localSheetId="4" hidden="1">'Sistemas de Iluminação'!$A$2:$AI$96</definedName>
    <definedName name="_xlnm._FilterDatabase" localSheetId="5" hidden="1">'Sistemas de Refrigeração'!$A$1:$AL$47</definedName>
    <definedName name="_xlchart.v2.0" hidden="1">UC_DADOS!$D$37:$D$48</definedName>
    <definedName name="_xlchart.v2.1" hidden="1">UC_DADOS!$J$36</definedName>
    <definedName name="_xlchart.v2.2" hidden="1">UC_DADOS!$J$37:$J$48</definedName>
    <definedName name="_xlnm.Print_Area" localSheetId="3">'Sistemas de Cond. Ambiental'!$A$1:$V$45</definedName>
    <definedName name="celpeCEE">'[1]@Referência'!$K$16:$K$18</definedName>
    <definedName name="ListaSimNao">'[1]@Referência'!$A$30:$A$31</definedName>
    <definedName name="Modalidade">'[1]@Referência'!$J$2:$J$6</definedName>
    <definedName name="tipoCELPE">'[1]@Referência'!$N$14:$N$18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0" l="1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3" i="13"/>
  <c r="A4" i="12"/>
  <c r="H4" i="12"/>
  <c r="I4" i="12"/>
  <c r="K4" i="12"/>
  <c r="O4" i="12"/>
  <c r="P4" i="12"/>
  <c r="Q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5" i="12"/>
  <c r="H5" i="12"/>
  <c r="I5" i="12"/>
  <c r="K5" i="12"/>
  <c r="O5" i="12"/>
  <c r="P5" i="12"/>
  <c r="Q5" i="12"/>
  <c r="V5" i="12"/>
  <c r="W5" i="12"/>
  <c r="X5" i="12"/>
  <c r="Y5" i="12"/>
  <c r="Z5" i="12"/>
  <c r="AA5" i="12"/>
  <c r="AB5" i="12"/>
  <c r="AC5" i="12"/>
  <c r="AD5" i="12"/>
  <c r="AE5" i="12"/>
  <c r="AF5" i="12"/>
  <c r="A6" i="12"/>
  <c r="H6" i="12"/>
  <c r="K6" i="12"/>
  <c r="O6" i="12"/>
  <c r="V6" i="12"/>
  <c r="W6" i="12"/>
  <c r="X6" i="12"/>
  <c r="Y6" i="12"/>
  <c r="Z6" i="12"/>
  <c r="AA6" i="12"/>
  <c r="AB6" i="12"/>
  <c r="AC6" i="12"/>
  <c r="AD6" i="12"/>
  <c r="A7" i="12"/>
  <c r="H7" i="12"/>
  <c r="K7" i="12"/>
  <c r="O7" i="12"/>
  <c r="V7" i="12"/>
  <c r="W7" i="12"/>
  <c r="Y7" i="12"/>
  <c r="Z7" i="12"/>
  <c r="AA7" i="12"/>
  <c r="AB7" i="12"/>
  <c r="AC7" i="12"/>
  <c r="A8" i="12"/>
  <c r="H8" i="12"/>
  <c r="K8" i="12"/>
  <c r="O8" i="12"/>
  <c r="V8" i="12"/>
  <c r="Y8" i="12"/>
  <c r="Z8" i="12"/>
  <c r="AA8" i="12"/>
  <c r="AB8" i="12"/>
  <c r="AC8" i="12"/>
  <c r="A9" i="12"/>
  <c r="H9" i="12"/>
  <c r="K9" i="12"/>
  <c r="O9" i="12"/>
  <c r="V9" i="12"/>
  <c r="W9" i="12"/>
  <c r="Y9" i="12"/>
  <c r="Z9" i="12"/>
  <c r="AA9" i="12"/>
  <c r="AB9" i="12"/>
  <c r="AC9" i="12"/>
  <c r="A10" i="12"/>
  <c r="H10" i="12"/>
  <c r="K10" i="12"/>
  <c r="O10" i="12"/>
  <c r="V10" i="12"/>
  <c r="Y10" i="12"/>
  <c r="Z10" i="12"/>
  <c r="AA10" i="12"/>
  <c r="AB10" i="12"/>
  <c r="A11" i="12"/>
  <c r="H11" i="12"/>
  <c r="K11" i="12"/>
  <c r="O11" i="12"/>
  <c r="V11" i="12"/>
  <c r="W11" i="12"/>
  <c r="Y11" i="12"/>
  <c r="Z11" i="12"/>
  <c r="AA11" i="12"/>
  <c r="AB11" i="12"/>
  <c r="AC11" i="12"/>
  <c r="A12" i="12"/>
  <c r="H12" i="12"/>
  <c r="K12" i="12"/>
  <c r="O12" i="12"/>
  <c r="V12" i="12"/>
  <c r="Y12" i="12"/>
  <c r="Z12" i="12"/>
  <c r="AA12" i="12"/>
  <c r="AB12" i="12"/>
  <c r="AC12" i="12"/>
  <c r="A13" i="12"/>
  <c r="H13" i="12"/>
  <c r="K13" i="12"/>
  <c r="O13" i="12"/>
  <c r="V13" i="12"/>
  <c r="W13" i="12"/>
  <c r="X13" i="12"/>
  <c r="Y13" i="12"/>
  <c r="Z13" i="12"/>
  <c r="AA13" i="12"/>
  <c r="AB13" i="12"/>
  <c r="AC13" i="12"/>
  <c r="A14" i="12"/>
  <c r="H14" i="12"/>
  <c r="K14" i="12"/>
  <c r="O14" i="12"/>
  <c r="V14" i="12"/>
  <c r="W14" i="12"/>
  <c r="Y14" i="12"/>
  <c r="Z14" i="12"/>
  <c r="AA14" i="12"/>
  <c r="AB14" i="12"/>
  <c r="AC14" i="12"/>
  <c r="A15" i="12"/>
  <c r="H15" i="12"/>
  <c r="K15" i="12"/>
  <c r="O15" i="12"/>
  <c r="V15" i="12"/>
  <c r="W15" i="12"/>
  <c r="X15" i="12"/>
  <c r="Y15" i="12"/>
  <c r="Z15" i="12"/>
  <c r="AA15" i="12"/>
  <c r="AB15" i="12"/>
  <c r="AC15" i="12"/>
  <c r="AD15" i="12"/>
  <c r="A16" i="12"/>
  <c r="H16" i="12"/>
  <c r="K16" i="12"/>
  <c r="O16" i="12"/>
  <c r="V16" i="12"/>
  <c r="Y16" i="12"/>
  <c r="Z16" i="12"/>
  <c r="AA16" i="12"/>
  <c r="AB16" i="12"/>
  <c r="AC16" i="12"/>
  <c r="A17" i="12"/>
  <c r="H17" i="12"/>
  <c r="K17" i="12"/>
  <c r="O17" i="12"/>
  <c r="V17" i="12"/>
  <c r="W17" i="12"/>
  <c r="Z17" i="12"/>
  <c r="AA17" i="12"/>
  <c r="AB17" i="12"/>
  <c r="AC17" i="12"/>
  <c r="A18" i="12"/>
  <c r="H18" i="12"/>
  <c r="K18" i="12"/>
  <c r="O18" i="12"/>
  <c r="V18" i="12"/>
  <c r="W18" i="12"/>
  <c r="X18" i="12"/>
  <c r="Y18" i="12"/>
  <c r="Z18" i="12"/>
  <c r="AA18" i="12"/>
  <c r="AB18" i="12"/>
  <c r="AC18" i="12"/>
  <c r="AD18" i="12"/>
  <c r="A19" i="12"/>
  <c r="H19" i="12"/>
  <c r="K19" i="12"/>
  <c r="O19" i="12"/>
  <c r="V19" i="12"/>
  <c r="Y19" i="12"/>
  <c r="Z19" i="12"/>
  <c r="AA19" i="12"/>
  <c r="AB19" i="12"/>
  <c r="AC19" i="12"/>
  <c r="A20" i="12"/>
  <c r="H20" i="12"/>
  <c r="I20" i="12"/>
  <c r="K20" i="12"/>
  <c r="O20" i="12"/>
  <c r="Q20" i="12"/>
  <c r="V20" i="12"/>
  <c r="Y20" i="12"/>
  <c r="Z20" i="12"/>
  <c r="AA20" i="12"/>
  <c r="AB20" i="12"/>
  <c r="A21" i="12"/>
  <c r="H21" i="12"/>
  <c r="K21" i="12"/>
  <c r="O21" i="12"/>
  <c r="V21" i="12"/>
  <c r="W21" i="12"/>
  <c r="Y21" i="12"/>
  <c r="Z21" i="12"/>
  <c r="AA21" i="12"/>
  <c r="AB21" i="12"/>
  <c r="AC21" i="12"/>
  <c r="A22" i="12"/>
  <c r="H22" i="12"/>
  <c r="K22" i="12"/>
  <c r="O22" i="12"/>
  <c r="V22" i="12"/>
  <c r="Y22" i="12"/>
  <c r="Z22" i="12"/>
  <c r="AA22" i="12"/>
  <c r="AB22" i="12"/>
  <c r="AC22" i="12"/>
  <c r="A23" i="12"/>
  <c r="H23" i="12"/>
  <c r="K23" i="12"/>
  <c r="O23" i="12"/>
  <c r="V23" i="12"/>
  <c r="W23" i="12"/>
  <c r="Y23" i="12"/>
  <c r="Z23" i="12"/>
  <c r="AA23" i="12"/>
  <c r="AB23" i="12"/>
  <c r="AC23" i="12"/>
  <c r="A24" i="12"/>
  <c r="H24" i="12"/>
  <c r="I24" i="12"/>
  <c r="K24" i="12"/>
  <c r="O24" i="12"/>
  <c r="P24" i="12"/>
  <c r="V24" i="12"/>
  <c r="Y24" i="12"/>
  <c r="Z24" i="12"/>
  <c r="AA24" i="12"/>
  <c r="AB24" i="12"/>
  <c r="AC24" i="12"/>
  <c r="A25" i="12"/>
  <c r="H25" i="12"/>
  <c r="I25" i="12"/>
  <c r="K25" i="12"/>
  <c r="O25" i="12"/>
  <c r="P25" i="12"/>
  <c r="Q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26" i="12"/>
  <c r="H26" i="12"/>
  <c r="I26" i="12"/>
  <c r="K26" i="12"/>
  <c r="O26" i="12"/>
  <c r="P26" i="12"/>
  <c r="Q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27" i="12"/>
  <c r="H27" i="12"/>
  <c r="I27" i="12"/>
  <c r="K27" i="12"/>
  <c r="O27" i="12"/>
  <c r="P27" i="12"/>
  <c r="Q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28" i="12"/>
  <c r="H28" i="12"/>
  <c r="I28" i="12"/>
  <c r="K28" i="12"/>
  <c r="O28" i="12"/>
  <c r="P28" i="12"/>
  <c r="Q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29" i="12"/>
  <c r="H29" i="12"/>
  <c r="I29" i="12"/>
  <c r="K29" i="12"/>
  <c r="O29" i="12"/>
  <c r="P29" i="12"/>
  <c r="Q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30" i="12"/>
  <c r="H30" i="12"/>
  <c r="I30" i="12"/>
  <c r="K30" i="12"/>
  <c r="O30" i="12"/>
  <c r="P30" i="12"/>
  <c r="Q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31" i="12"/>
  <c r="H31" i="12"/>
  <c r="I31" i="12"/>
  <c r="K31" i="12"/>
  <c r="O31" i="12"/>
  <c r="P31" i="12"/>
  <c r="Q31" i="12"/>
  <c r="V31" i="12"/>
  <c r="W31" i="12"/>
  <c r="X31" i="12"/>
  <c r="Y31" i="12"/>
  <c r="Z31" i="12"/>
  <c r="AA31" i="12"/>
  <c r="AB31" i="12"/>
  <c r="AC31" i="12"/>
  <c r="AD31" i="12"/>
  <c r="AG31" i="12"/>
  <c r="A32" i="12"/>
  <c r="H32" i="12"/>
  <c r="I32" i="12"/>
  <c r="K32" i="12"/>
  <c r="O32" i="12"/>
  <c r="P32" i="12"/>
  <c r="Q32" i="12"/>
  <c r="V32" i="12"/>
  <c r="W32" i="12"/>
  <c r="X32" i="12"/>
  <c r="Y32" i="12"/>
  <c r="Z32" i="12"/>
  <c r="AA32" i="12"/>
  <c r="AB32" i="12"/>
  <c r="AD32" i="12"/>
  <c r="AG32" i="12"/>
  <c r="AH32" i="12"/>
  <c r="A33" i="12"/>
  <c r="H33" i="12"/>
  <c r="K33" i="12"/>
  <c r="O33" i="12"/>
  <c r="V33" i="12"/>
  <c r="Y33" i="12"/>
  <c r="Z33" i="12"/>
  <c r="AA33" i="12"/>
  <c r="AB33" i="12"/>
  <c r="AC33" i="12"/>
  <c r="A34" i="12"/>
  <c r="H34" i="12"/>
  <c r="K34" i="12"/>
  <c r="O34" i="12"/>
  <c r="V34" i="12"/>
  <c r="W34" i="12"/>
  <c r="Y34" i="12"/>
  <c r="Z34" i="12"/>
  <c r="AA34" i="12"/>
  <c r="AB34" i="12"/>
  <c r="AC34" i="12"/>
  <c r="A35" i="12"/>
  <c r="H35" i="12"/>
  <c r="K35" i="12"/>
  <c r="O35" i="12"/>
  <c r="V35" i="12"/>
  <c r="W35" i="12"/>
  <c r="X35" i="12"/>
  <c r="Y35" i="12"/>
  <c r="Z35" i="12"/>
  <c r="AA35" i="12"/>
  <c r="AB35" i="12"/>
  <c r="AD35" i="12"/>
  <c r="A36" i="12"/>
  <c r="H36" i="12"/>
  <c r="K36" i="12"/>
  <c r="O36" i="12"/>
  <c r="V36" i="12"/>
  <c r="Y36" i="12"/>
  <c r="Z36" i="12"/>
  <c r="AA36" i="12"/>
  <c r="AB36" i="12"/>
  <c r="AC36" i="12"/>
  <c r="A37" i="12"/>
  <c r="H37" i="12"/>
  <c r="K37" i="12"/>
  <c r="O37" i="12"/>
  <c r="V37" i="12"/>
  <c r="Z37" i="12"/>
  <c r="AA37" i="12"/>
  <c r="AB37" i="12"/>
  <c r="AC37" i="12"/>
  <c r="A38" i="12"/>
  <c r="H38" i="12"/>
  <c r="I38" i="12"/>
  <c r="K38" i="12"/>
  <c r="O38" i="12"/>
  <c r="P38" i="12"/>
  <c r="Q38" i="12"/>
  <c r="V38" i="12"/>
  <c r="W38" i="12"/>
  <c r="X38" i="12"/>
  <c r="Y38" i="12"/>
  <c r="Z38" i="12"/>
  <c r="AA38" i="12"/>
  <c r="AB38" i="12"/>
  <c r="AC38" i="12"/>
  <c r="AD38" i="12"/>
  <c r="AG38" i="12"/>
  <c r="AH38" i="12"/>
  <c r="A39" i="12"/>
  <c r="H39" i="12"/>
  <c r="K39" i="12"/>
  <c r="O39" i="12"/>
  <c r="V39" i="12"/>
  <c r="W39" i="12"/>
  <c r="Y39" i="12"/>
  <c r="Z39" i="12"/>
  <c r="AA39" i="12"/>
  <c r="AB39" i="12"/>
  <c r="A40" i="12"/>
  <c r="H40" i="12"/>
  <c r="I40" i="12"/>
  <c r="K40" i="12"/>
  <c r="O40" i="12"/>
  <c r="P40" i="12"/>
  <c r="V40" i="12"/>
  <c r="W40" i="12"/>
  <c r="Y40" i="12"/>
  <c r="Z40" i="12"/>
  <c r="AA40" i="12"/>
  <c r="AB40" i="12"/>
  <c r="AC40" i="12"/>
  <c r="A41" i="12"/>
  <c r="H41" i="12"/>
  <c r="K41" i="12"/>
  <c r="O41" i="12"/>
  <c r="V41" i="12"/>
  <c r="Y41" i="12"/>
  <c r="Z41" i="12"/>
  <c r="AA41" i="12"/>
  <c r="AB41" i="12"/>
  <c r="AC41" i="12"/>
  <c r="A42" i="12"/>
  <c r="H42" i="12"/>
  <c r="K42" i="12"/>
  <c r="O42" i="12"/>
  <c r="V42" i="12"/>
  <c r="W42" i="12"/>
  <c r="X42" i="12"/>
  <c r="Y42" i="12"/>
  <c r="Z42" i="12"/>
  <c r="AA42" i="12"/>
  <c r="AB42" i="12"/>
  <c r="AC42" i="12"/>
  <c r="AD42" i="12"/>
  <c r="AE42" i="12"/>
  <c r="A43" i="12"/>
  <c r="H43" i="12"/>
  <c r="K43" i="12"/>
  <c r="O43" i="12"/>
  <c r="V43" i="12"/>
  <c r="Y43" i="12"/>
  <c r="Z43" i="12"/>
  <c r="AA43" i="12"/>
  <c r="AB43" i="12"/>
  <c r="AC43" i="12"/>
  <c r="A44" i="12"/>
  <c r="H44" i="12"/>
  <c r="K44" i="12"/>
  <c r="O44" i="12"/>
  <c r="V44" i="12"/>
  <c r="W44" i="12"/>
  <c r="Y44" i="12"/>
  <c r="Z44" i="12"/>
  <c r="AA44" i="12"/>
  <c r="AB44" i="12"/>
  <c r="AC44" i="12"/>
  <c r="A45" i="12"/>
  <c r="H45" i="12"/>
  <c r="K45" i="12"/>
  <c r="O45" i="12"/>
  <c r="V45" i="12"/>
  <c r="W45" i="12"/>
  <c r="X45" i="12"/>
  <c r="Y45" i="12"/>
  <c r="Z45" i="12"/>
  <c r="AA45" i="12"/>
  <c r="AB45" i="12"/>
  <c r="AC45" i="12"/>
  <c r="AD45" i="12"/>
  <c r="AE45" i="12"/>
  <c r="A46" i="12"/>
  <c r="H46" i="12"/>
  <c r="I46" i="12"/>
  <c r="K46" i="12"/>
  <c r="O46" i="12"/>
  <c r="P46" i="12"/>
  <c r="Q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47" i="12"/>
  <c r="H47" i="12"/>
  <c r="I47" i="12"/>
  <c r="K47" i="12"/>
  <c r="O47" i="12"/>
  <c r="P47" i="12"/>
  <c r="Q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48" i="12"/>
  <c r="H48" i="12"/>
  <c r="I48" i="12"/>
  <c r="K48" i="12"/>
  <c r="O48" i="12"/>
  <c r="P48" i="12"/>
  <c r="Q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49" i="12"/>
  <c r="H49" i="12"/>
  <c r="I49" i="12"/>
  <c r="K49" i="12"/>
  <c r="O49" i="12"/>
  <c r="P49" i="12"/>
  <c r="Q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50" i="12"/>
  <c r="H50" i="12"/>
  <c r="I50" i="12"/>
  <c r="K50" i="12"/>
  <c r="O50" i="12"/>
  <c r="P50" i="12"/>
  <c r="Q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51" i="12"/>
  <c r="H51" i="12"/>
  <c r="I51" i="12"/>
  <c r="K51" i="12"/>
  <c r="O51" i="12"/>
  <c r="P51" i="12"/>
  <c r="Q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52" i="12"/>
  <c r="H52" i="12"/>
  <c r="I52" i="12"/>
  <c r="K52" i="12"/>
  <c r="O52" i="12"/>
  <c r="P52" i="12"/>
  <c r="Q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53" i="12"/>
  <c r="H53" i="12"/>
  <c r="I53" i="12"/>
  <c r="K53" i="12"/>
  <c r="O53" i="12"/>
  <c r="P53" i="12"/>
  <c r="Q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54" i="12"/>
  <c r="H54" i="12"/>
  <c r="I54" i="12"/>
  <c r="K54" i="12"/>
  <c r="O54" i="12"/>
  <c r="P54" i="12"/>
  <c r="Q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55" i="12"/>
  <c r="H55" i="12"/>
  <c r="I55" i="12"/>
  <c r="K55" i="12"/>
  <c r="O55" i="12"/>
  <c r="P55" i="12"/>
  <c r="Q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56" i="12"/>
  <c r="H56" i="12"/>
  <c r="I56" i="12"/>
  <c r="K56" i="12"/>
  <c r="O56" i="12"/>
  <c r="P56" i="12"/>
  <c r="Q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4" i="13"/>
  <c r="G4" i="13"/>
  <c r="I4" i="13"/>
  <c r="A5" i="13"/>
  <c r="G5" i="13"/>
  <c r="I5" i="13"/>
  <c r="A6" i="13"/>
  <c r="G6" i="13"/>
  <c r="I6" i="13"/>
  <c r="A7" i="13"/>
  <c r="G7" i="13"/>
  <c r="A8" i="13"/>
  <c r="G8" i="13"/>
  <c r="A9" i="13"/>
  <c r="G9" i="13"/>
  <c r="A10" i="13"/>
  <c r="G10" i="13"/>
  <c r="A11" i="13"/>
  <c r="G11" i="13"/>
  <c r="I11" i="13"/>
  <c r="A12" i="13"/>
  <c r="G12" i="13"/>
  <c r="A13" i="13"/>
  <c r="G13" i="13"/>
  <c r="A14" i="13"/>
  <c r="G14" i="13"/>
  <c r="A15" i="13"/>
  <c r="G15" i="13"/>
  <c r="A16" i="13"/>
  <c r="G16" i="13"/>
  <c r="A17" i="13"/>
  <c r="G17" i="13"/>
  <c r="A18" i="13"/>
  <c r="G18" i="13"/>
  <c r="A19" i="13"/>
  <c r="G19" i="13"/>
  <c r="A20" i="13"/>
  <c r="G20" i="13"/>
  <c r="A21" i="13"/>
  <c r="G21" i="13"/>
  <c r="A22" i="13"/>
  <c r="G22" i="13"/>
  <c r="A23" i="13"/>
  <c r="G23" i="13"/>
  <c r="A24" i="13"/>
  <c r="G24" i="13"/>
  <c r="A25" i="13"/>
  <c r="G25" i="13"/>
  <c r="A26" i="13"/>
  <c r="G26" i="13"/>
  <c r="A27" i="13"/>
  <c r="G27" i="13"/>
  <c r="A28" i="13"/>
  <c r="G28" i="13"/>
  <c r="A29" i="13"/>
  <c r="G29" i="13"/>
  <c r="A30" i="13"/>
  <c r="G30" i="13"/>
  <c r="A31" i="13"/>
  <c r="G31" i="13"/>
  <c r="A32" i="13"/>
  <c r="G32" i="13"/>
  <c r="A33" i="13"/>
  <c r="G33" i="13"/>
  <c r="A34" i="13"/>
  <c r="G34" i="13"/>
  <c r="A35" i="13"/>
  <c r="G35" i="13"/>
  <c r="A36" i="13"/>
  <c r="G36" i="13"/>
  <c r="A37" i="13"/>
  <c r="G37" i="13"/>
  <c r="A38" i="13"/>
  <c r="G38" i="13"/>
  <c r="A39" i="13"/>
  <c r="G39" i="13"/>
  <c r="A40" i="13"/>
  <c r="G40" i="13"/>
  <c r="A41" i="13"/>
  <c r="G41" i="13"/>
  <c r="A42" i="13"/>
  <c r="G42" i="13"/>
  <c r="A43" i="13"/>
  <c r="G43" i="13"/>
  <c r="A44" i="13"/>
  <c r="G44" i="13"/>
  <c r="A45" i="13"/>
  <c r="G45" i="13"/>
  <c r="A4" i="10"/>
  <c r="J4" i="10"/>
  <c r="M4" i="10"/>
  <c r="R4" i="10"/>
  <c r="S4" i="10"/>
  <c r="T4" i="10"/>
  <c r="U4" i="10" a="1"/>
  <c r="V4" i="10"/>
  <c r="W4" i="10" a="1"/>
  <c r="X4" i="10" a="1"/>
  <c r="Z4" i="10"/>
  <c r="AA4" i="10" a="1"/>
  <c r="AB4" i="10"/>
  <c r="AC4" i="10"/>
  <c r="AD4" i="10"/>
  <c r="AE4" i="10"/>
  <c r="AF4" i="10"/>
  <c r="A5" i="10"/>
  <c r="J5" i="10"/>
  <c r="M5" i="10"/>
  <c r="R5" i="10"/>
  <c r="T5" i="10"/>
  <c r="U5" i="10" a="1"/>
  <c r="V5" i="10"/>
  <c r="W5" i="10" a="1"/>
  <c r="X5" i="10" a="1"/>
  <c r="Z5" i="10"/>
  <c r="AA5" i="10" a="1"/>
  <c r="AB5" i="10"/>
  <c r="AC5" i="10"/>
  <c r="AD5" i="10"/>
  <c r="AE5" i="10"/>
  <c r="AF5" i="10"/>
  <c r="A6" i="10"/>
  <c r="J6" i="10"/>
  <c r="M6" i="10"/>
  <c r="R6" i="10"/>
  <c r="S6" i="10"/>
  <c r="T6" i="10"/>
  <c r="U6" i="10" a="1"/>
  <c r="V6" i="10"/>
  <c r="W6" i="10" a="1"/>
  <c r="X6" i="10" a="1"/>
  <c r="Z6" i="10"/>
  <c r="AA6" i="10" a="1"/>
  <c r="AB6" i="10"/>
  <c r="AC6" i="10"/>
  <c r="AD6" i="10"/>
  <c r="AE6" i="10"/>
  <c r="AF6" i="10"/>
  <c r="A7" i="10"/>
  <c r="J7" i="10"/>
  <c r="M7" i="10"/>
  <c r="R7" i="10"/>
  <c r="S7" i="10"/>
  <c r="T7" i="10"/>
  <c r="U7" i="10" a="1"/>
  <c r="V7" i="10"/>
  <c r="W7" i="10" a="1"/>
  <c r="X7" i="10" a="1"/>
  <c r="Z7" i="10"/>
  <c r="AA7" i="10" a="1"/>
  <c r="AB7" i="10"/>
  <c r="AC7" i="10"/>
  <c r="AD7" i="10"/>
  <c r="AE7" i="10"/>
  <c r="AF7" i="10"/>
  <c r="A8" i="10"/>
  <c r="J8" i="10"/>
  <c r="M8" i="10"/>
  <c r="R8" i="10"/>
  <c r="U8" i="10" a="1"/>
  <c r="V8" i="10"/>
  <c r="W8" i="10" a="1"/>
  <c r="X8" i="10" a="1"/>
  <c r="Z8" i="10"/>
  <c r="AA8" i="10" a="1"/>
  <c r="AB8" i="10"/>
  <c r="AC8" i="10"/>
  <c r="AD8" i="10"/>
  <c r="AE8" i="10"/>
  <c r="AF8" i="10"/>
  <c r="A9" i="10"/>
  <c r="J9" i="10"/>
  <c r="M9" i="10"/>
  <c r="R9" i="10"/>
  <c r="U9" i="10" a="1"/>
  <c r="V9" i="10"/>
  <c r="W9" i="10" a="1"/>
  <c r="X9" i="10" a="1"/>
  <c r="Z9" i="10"/>
  <c r="AA9" i="10" a="1"/>
  <c r="AB9" i="10"/>
  <c r="AC9" i="10"/>
  <c r="AD9" i="10"/>
  <c r="AE9" i="10"/>
  <c r="AF9" i="10"/>
  <c r="A10" i="10"/>
  <c r="J10" i="10"/>
  <c r="M10" i="10"/>
  <c r="R10" i="10"/>
  <c r="T10" i="10"/>
  <c r="U10" i="10" a="1"/>
  <c r="V10" i="10"/>
  <c r="W10" i="10" a="1"/>
  <c r="X10" i="10" a="1"/>
  <c r="Z10" i="10"/>
  <c r="AA10" i="10" a="1"/>
  <c r="AB10" i="10"/>
  <c r="AC10" i="10"/>
  <c r="AD10" i="10"/>
  <c r="AE10" i="10"/>
  <c r="AF10" i="10"/>
  <c r="A11" i="10"/>
  <c r="J11" i="10"/>
  <c r="M11" i="10"/>
  <c r="R11" i="10"/>
  <c r="S11" i="10"/>
  <c r="T11" i="10"/>
  <c r="U11" i="10" a="1"/>
  <c r="V11" i="10"/>
  <c r="W11" i="10" a="1"/>
  <c r="X11" i="10" a="1"/>
  <c r="Z11" i="10"/>
  <c r="AA11" i="10" a="1"/>
  <c r="AB11" i="10"/>
  <c r="AC11" i="10"/>
  <c r="AD11" i="10"/>
  <c r="AE11" i="10"/>
  <c r="AF11" i="10"/>
  <c r="A12" i="10"/>
  <c r="J12" i="10"/>
  <c r="M12" i="10"/>
  <c r="R12" i="10"/>
  <c r="U12" i="10" a="1"/>
  <c r="V12" i="10"/>
  <c r="W12" i="10" a="1"/>
  <c r="X12" i="10" a="1"/>
  <c r="Z12" i="10"/>
  <c r="AA12" i="10" a="1"/>
  <c r="AB12" i="10"/>
  <c r="AC12" i="10"/>
  <c r="AD12" i="10"/>
  <c r="AE12" i="10"/>
  <c r="AF12" i="10"/>
  <c r="A13" i="10"/>
  <c r="J13" i="10"/>
  <c r="M13" i="10"/>
  <c r="R13" i="10"/>
  <c r="S13" i="10"/>
  <c r="T13" i="10"/>
  <c r="U13" i="10" a="1"/>
  <c r="V13" i="10"/>
  <c r="W13" i="10" a="1"/>
  <c r="X13" i="10" a="1"/>
  <c r="Z13" i="10"/>
  <c r="AA13" i="10" a="1"/>
  <c r="AB13" i="10"/>
  <c r="AC13" i="10"/>
  <c r="AD13" i="10"/>
  <c r="AE13" i="10"/>
  <c r="AF13" i="10"/>
  <c r="A14" i="10"/>
  <c r="J14" i="10"/>
  <c r="M14" i="10"/>
  <c r="R14" i="10"/>
  <c r="S14" i="10"/>
  <c r="U14" i="10" a="1"/>
  <c r="V14" i="10"/>
  <c r="W14" i="10" a="1"/>
  <c r="X14" i="10" a="1"/>
  <c r="Z14" i="10"/>
  <c r="AA14" i="10" a="1"/>
  <c r="AB14" i="10"/>
  <c r="AC14" i="10"/>
  <c r="AD14" i="10"/>
  <c r="AE14" i="10"/>
  <c r="AF14" i="10"/>
  <c r="A15" i="10"/>
  <c r="J15" i="10"/>
  <c r="M15" i="10"/>
  <c r="R15" i="10"/>
  <c r="S15" i="10"/>
  <c r="T15" i="10"/>
  <c r="U15" i="10" a="1"/>
  <c r="V15" i="10"/>
  <c r="W15" i="10" a="1"/>
  <c r="X15" i="10" a="1"/>
  <c r="Z15" i="10"/>
  <c r="AA15" i="10" a="1"/>
  <c r="AB15" i="10"/>
  <c r="AC15" i="10"/>
  <c r="AD15" i="10"/>
  <c r="AE15" i="10"/>
  <c r="AF15" i="10"/>
  <c r="A16" i="10"/>
  <c r="J16" i="10"/>
  <c r="M16" i="10"/>
  <c r="R16" i="10"/>
  <c r="S16" i="10"/>
  <c r="T16" i="10"/>
  <c r="U16" i="10" a="1"/>
  <c r="U16" i="10"/>
  <c r="V16" i="10"/>
  <c r="W16" i="10" a="1"/>
  <c r="W16" i="10"/>
  <c r="X16" i="10" a="1"/>
  <c r="X16" i="10"/>
  <c r="Y16" i="10"/>
  <c r="Z16" i="10"/>
  <c r="AA16" i="10" a="1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17" i="10"/>
  <c r="J17" i="10"/>
  <c r="M17" i="10"/>
  <c r="R17" i="10"/>
  <c r="S17" i="10"/>
  <c r="T17" i="10"/>
  <c r="U17" i="10" a="1"/>
  <c r="U17" i="10"/>
  <c r="V17" i="10"/>
  <c r="W17" i="10" a="1"/>
  <c r="W17" i="10"/>
  <c r="X17" i="10" a="1"/>
  <c r="X17" i="10"/>
  <c r="Y17" i="10"/>
  <c r="Z17" i="10"/>
  <c r="AA17" i="10" a="1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18" i="10"/>
  <c r="J18" i="10"/>
  <c r="M18" i="10"/>
  <c r="R18" i="10"/>
  <c r="S18" i="10"/>
  <c r="T18" i="10"/>
  <c r="U18" i="10" a="1"/>
  <c r="U18" i="10"/>
  <c r="V18" i="10"/>
  <c r="W18" i="10" a="1"/>
  <c r="W18" i="10"/>
  <c r="X18" i="10" a="1"/>
  <c r="X18" i="10"/>
  <c r="Y18" i="10"/>
  <c r="Z18" i="10"/>
  <c r="AA18" i="10" a="1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19" i="10"/>
  <c r="J19" i="10"/>
  <c r="M19" i="10"/>
  <c r="R19" i="10"/>
  <c r="S19" i="10"/>
  <c r="T19" i="10"/>
  <c r="U19" i="10" a="1"/>
  <c r="U19" i="10"/>
  <c r="V19" i="10"/>
  <c r="W19" i="10" a="1"/>
  <c r="W19" i="10"/>
  <c r="X19" i="10" a="1"/>
  <c r="X19" i="10"/>
  <c r="Y19" i="10"/>
  <c r="Z19" i="10"/>
  <c r="AA19" i="10" a="1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20" i="10"/>
  <c r="J20" i="10"/>
  <c r="M20" i="10"/>
  <c r="R20" i="10"/>
  <c r="S20" i="10"/>
  <c r="T20" i="10"/>
  <c r="U20" i="10" a="1"/>
  <c r="U20" i="10"/>
  <c r="V20" i="10"/>
  <c r="W20" i="10" a="1"/>
  <c r="W20" i="10"/>
  <c r="X20" i="10" a="1"/>
  <c r="X20" i="10"/>
  <c r="Y20" i="10"/>
  <c r="Z20" i="10"/>
  <c r="AA20" i="10" a="1"/>
  <c r="AA20" i="10"/>
  <c r="AB20" i="10"/>
  <c r="AC20" i="10"/>
  <c r="AD20" i="10"/>
  <c r="AE20" i="10"/>
  <c r="AF20" i="10"/>
  <c r="AG20" i="10"/>
  <c r="AH20" i="10"/>
  <c r="AI20" i="10"/>
  <c r="AJ20" i="10"/>
  <c r="AL20" i="10"/>
  <c r="A21" i="10"/>
  <c r="J21" i="10"/>
  <c r="M21" i="10"/>
  <c r="R21" i="10"/>
  <c r="S21" i="10"/>
  <c r="T21" i="10"/>
  <c r="U21" i="10" a="1"/>
  <c r="V21" i="10"/>
  <c r="W21" i="10" a="1"/>
  <c r="X21" i="10" a="1"/>
  <c r="Z21" i="10"/>
  <c r="AA21" i="10" a="1"/>
  <c r="AB21" i="10"/>
  <c r="AC21" i="10"/>
  <c r="AD21" i="10"/>
  <c r="AE21" i="10"/>
  <c r="AF21" i="10"/>
  <c r="A22" i="10"/>
  <c r="J22" i="10"/>
  <c r="M22" i="10"/>
  <c r="R22" i="10"/>
  <c r="S22" i="10"/>
  <c r="T22" i="10"/>
  <c r="U22" i="10" a="1"/>
  <c r="V22" i="10"/>
  <c r="W22" i="10" a="1"/>
  <c r="X22" i="10" a="1"/>
  <c r="Z22" i="10"/>
  <c r="AA22" i="10" a="1"/>
  <c r="AB22" i="10"/>
  <c r="AC22" i="10"/>
  <c r="AD22" i="10"/>
  <c r="AE22" i="10"/>
  <c r="AF22" i="10"/>
  <c r="A23" i="10"/>
  <c r="J23" i="10"/>
  <c r="M23" i="10"/>
  <c r="R23" i="10"/>
  <c r="S23" i="10"/>
  <c r="U23" i="10" a="1"/>
  <c r="V23" i="10"/>
  <c r="W23" i="10" a="1"/>
  <c r="X23" i="10" a="1"/>
  <c r="Z23" i="10"/>
  <c r="AA23" i="10" a="1"/>
  <c r="AB23" i="10"/>
  <c r="AC23" i="10"/>
  <c r="AD23" i="10"/>
  <c r="AE23" i="10"/>
  <c r="AF23" i="10"/>
  <c r="A24" i="10"/>
  <c r="J24" i="10"/>
  <c r="M24" i="10"/>
  <c r="R24" i="10"/>
  <c r="U24" i="10" a="1"/>
  <c r="V24" i="10"/>
  <c r="W24" i="10" a="1"/>
  <c r="X24" i="10" a="1"/>
  <c r="Z24" i="10"/>
  <c r="AA24" i="10" a="1"/>
  <c r="AB24" i="10"/>
  <c r="AC24" i="10"/>
  <c r="AD24" i="10"/>
  <c r="AE24" i="10"/>
  <c r="AF24" i="10"/>
  <c r="A25" i="10"/>
  <c r="J25" i="10"/>
  <c r="M25" i="10"/>
  <c r="R25" i="10"/>
  <c r="S25" i="10"/>
  <c r="T25" i="10"/>
  <c r="U25" i="10" a="1"/>
  <c r="V25" i="10"/>
  <c r="W25" i="10" a="1"/>
  <c r="X25" i="10" a="1"/>
  <c r="Z25" i="10"/>
  <c r="AA25" i="10" a="1"/>
  <c r="AB25" i="10"/>
  <c r="AC25" i="10"/>
  <c r="AD25" i="10"/>
  <c r="AE25" i="10"/>
  <c r="AF25" i="10"/>
  <c r="A26" i="10"/>
  <c r="J26" i="10"/>
  <c r="M26" i="10"/>
  <c r="R26" i="10"/>
  <c r="S26" i="10"/>
  <c r="U26" i="10" a="1"/>
  <c r="V26" i="10"/>
  <c r="W26" i="10" a="1"/>
  <c r="X26" i="10" a="1"/>
  <c r="Z26" i="10"/>
  <c r="AA26" i="10" a="1"/>
  <c r="AB26" i="10"/>
  <c r="AC26" i="10"/>
  <c r="AD26" i="10"/>
  <c r="AE26" i="10"/>
  <c r="AF26" i="10"/>
  <c r="A27" i="10"/>
  <c r="J27" i="10"/>
  <c r="M27" i="10"/>
  <c r="R27" i="10"/>
  <c r="T27" i="10"/>
  <c r="U27" i="10" a="1"/>
  <c r="V27" i="10"/>
  <c r="W27" i="10" a="1"/>
  <c r="X27" i="10" a="1"/>
  <c r="Z27" i="10"/>
  <c r="AA27" i="10" a="1"/>
  <c r="AB27" i="10"/>
  <c r="AC27" i="10"/>
  <c r="AD27" i="10"/>
  <c r="AE27" i="10"/>
  <c r="AF27" i="10"/>
  <c r="A28" i="10"/>
  <c r="J28" i="10"/>
  <c r="M28" i="10"/>
  <c r="R28" i="10"/>
  <c r="S28" i="10"/>
  <c r="T28" i="10"/>
  <c r="U28" i="10" a="1"/>
  <c r="U28" i="10"/>
  <c r="V28" i="10"/>
  <c r="W28" i="10" a="1"/>
  <c r="W28" i="10"/>
  <c r="X28" i="10" a="1"/>
  <c r="X28" i="10"/>
  <c r="Y28" i="10"/>
  <c r="Z28" i="10"/>
  <c r="AA28" i="10" a="1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29" i="10"/>
  <c r="J29" i="10"/>
  <c r="M29" i="10"/>
  <c r="R29" i="10"/>
  <c r="S29" i="10"/>
  <c r="T29" i="10"/>
  <c r="U29" i="10" a="1"/>
  <c r="U29" i="10"/>
  <c r="V29" i="10"/>
  <c r="W29" i="10" a="1"/>
  <c r="W29" i="10"/>
  <c r="X29" i="10" a="1"/>
  <c r="X29" i="10"/>
  <c r="Y29" i="10"/>
  <c r="Z29" i="10"/>
  <c r="AA29" i="10" a="1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30" i="10"/>
  <c r="J30" i="10"/>
  <c r="M30" i="10"/>
  <c r="R30" i="10"/>
  <c r="S30" i="10"/>
  <c r="T30" i="10"/>
  <c r="U30" i="10" a="1"/>
  <c r="U30" i="10"/>
  <c r="V30" i="10"/>
  <c r="W30" i="10" a="1"/>
  <c r="W30" i="10"/>
  <c r="X30" i="10" a="1"/>
  <c r="X30" i="10"/>
  <c r="Y30" i="10"/>
  <c r="Z30" i="10"/>
  <c r="AA30" i="10" a="1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31" i="10"/>
  <c r="J31" i="10"/>
  <c r="M31" i="10"/>
  <c r="R31" i="10"/>
  <c r="S31" i="10"/>
  <c r="T31" i="10"/>
  <c r="U31" i="10" a="1"/>
  <c r="U31" i="10"/>
  <c r="V31" i="10"/>
  <c r="W31" i="10" a="1"/>
  <c r="W31" i="10"/>
  <c r="X31" i="10" a="1"/>
  <c r="X31" i="10"/>
  <c r="Y31" i="10"/>
  <c r="Z31" i="10"/>
  <c r="AA31" i="10" a="1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32" i="10"/>
  <c r="J32" i="10"/>
  <c r="M32" i="10"/>
  <c r="R32" i="10"/>
  <c r="S32" i="10"/>
  <c r="T32" i="10"/>
  <c r="U32" i="10" a="1"/>
  <c r="U32" i="10"/>
  <c r="V32" i="10"/>
  <c r="W32" i="10" a="1"/>
  <c r="W32" i="10"/>
  <c r="X32" i="10" a="1"/>
  <c r="X32" i="10"/>
  <c r="Y32" i="10"/>
  <c r="Z32" i="10"/>
  <c r="AA32" i="10" a="1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33" i="10"/>
  <c r="J33" i="10"/>
  <c r="M33" i="10"/>
  <c r="R33" i="10"/>
  <c r="S33" i="10"/>
  <c r="T33" i="10"/>
  <c r="U33" i="10" a="1"/>
  <c r="U33" i="10"/>
  <c r="V33" i="10"/>
  <c r="W33" i="10" a="1"/>
  <c r="W33" i="10"/>
  <c r="X33" i="10" a="1"/>
  <c r="X33" i="10"/>
  <c r="Y33" i="10"/>
  <c r="Z33" i="10"/>
  <c r="AA33" i="10" a="1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34" i="10"/>
  <c r="J34" i="10"/>
  <c r="M34" i="10"/>
  <c r="R34" i="10"/>
  <c r="S34" i="10"/>
  <c r="T34" i="10"/>
  <c r="U34" i="10" a="1"/>
  <c r="U34" i="10"/>
  <c r="V34" i="10"/>
  <c r="W34" i="10" a="1"/>
  <c r="W34" i="10"/>
  <c r="X34" i="10" a="1"/>
  <c r="X34" i="10"/>
  <c r="Y34" i="10"/>
  <c r="Z34" i="10"/>
  <c r="AA34" i="10" a="1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35" i="10"/>
  <c r="J35" i="10"/>
  <c r="M35" i="10"/>
  <c r="R35" i="10"/>
  <c r="S35" i="10"/>
  <c r="T35" i="10"/>
  <c r="U35" i="10" a="1"/>
  <c r="U35" i="10"/>
  <c r="V35" i="10"/>
  <c r="W35" i="10" a="1"/>
  <c r="W35" i="10"/>
  <c r="X35" i="10" a="1"/>
  <c r="X35" i="10"/>
  <c r="Y35" i="10"/>
  <c r="Z35" i="10"/>
  <c r="AA35" i="10" a="1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A36" i="10"/>
  <c r="J36" i="10"/>
  <c r="M36" i="10"/>
  <c r="R36" i="10"/>
  <c r="U36" i="10" a="1"/>
  <c r="V36" i="10"/>
  <c r="W36" i="10" a="1"/>
  <c r="X36" i="10" a="1"/>
  <c r="Z36" i="10"/>
  <c r="AA36" i="10" a="1"/>
  <c r="AB36" i="10"/>
  <c r="AC36" i="10"/>
  <c r="AD36" i="10"/>
  <c r="AE36" i="10"/>
  <c r="AF36" i="10"/>
  <c r="A37" i="10"/>
  <c r="J37" i="10"/>
  <c r="M37" i="10"/>
  <c r="R37" i="10"/>
  <c r="U37" i="10" a="1"/>
  <c r="V37" i="10"/>
  <c r="W37" i="10" a="1"/>
  <c r="X37" i="10" a="1"/>
  <c r="Z37" i="10"/>
  <c r="AA37" i="10" a="1"/>
  <c r="AB37" i="10"/>
  <c r="AC37" i="10"/>
  <c r="AD37" i="10"/>
  <c r="AE37" i="10"/>
  <c r="AF37" i="10"/>
  <c r="A38" i="10"/>
  <c r="J38" i="10"/>
  <c r="M38" i="10"/>
  <c r="R38" i="10"/>
  <c r="S38" i="10"/>
  <c r="T38" i="10"/>
  <c r="U38" i="10" a="1"/>
  <c r="V38" i="10"/>
  <c r="W38" i="10" a="1"/>
  <c r="X38" i="10" a="1"/>
  <c r="Z38" i="10"/>
  <c r="AA38" i="10" a="1"/>
  <c r="AB38" i="10"/>
  <c r="AC38" i="10"/>
  <c r="AD38" i="10"/>
  <c r="AE38" i="10"/>
  <c r="AF38" i="10"/>
  <c r="A39" i="10"/>
  <c r="J39" i="10"/>
  <c r="M39" i="10"/>
  <c r="R39" i="10"/>
  <c r="T39" i="10"/>
  <c r="U39" i="10" a="1"/>
  <c r="V39" i="10"/>
  <c r="W39" i="10" a="1"/>
  <c r="X39" i="10" a="1"/>
  <c r="Z39" i="10"/>
  <c r="AA39" i="10" a="1"/>
  <c r="AB39" i="10"/>
  <c r="AC39" i="10"/>
  <c r="AD39" i="10"/>
  <c r="AE39" i="10"/>
  <c r="AF39" i="10"/>
  <c r="A5" i="11"/>
  <c r="J5" i="11"/>
  <c r="L5" i="11"/>
  <c r="Q5" i="11"/>
  <c r="R5" i="11"/>
  <c r="S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6" i="11"/>
  <c r="J6" i="11"/>
  <c r="L6" i="11"/>
  <c r="Q6" i="11"/>
  <c r="R6" i="11"/>
  <c r="S6" i="11"/>
  <c r="Y6" i="11"/>
  <c r="Z6" i="11"/>
  <c r="AA6" i="11"/>
  <c r="AB6" i="11"/>
  <c r="AC6" i="11"/>
  <c r="AD6" i="11"/>
  <c r="AE6" i="11"/>
  <c r="AF6" i="11"/>
  <c r="AH6" i="11"/>
  <c r="AI6" i="11"/>
  <c r="AJ6" i="11"/>
  <c r="A7" i="11"/>
  <c r="J7" i="11"/>
  <c r="L7" i="11"/>
  <c r="Q7" i="11"/>
  <c r="R7" i="11"/>
  <c r="S7" i="11"/>
  <c r="Y7" i="11"/>
  <c r="Z7" i="11"/>
  <c r="AA7" i="11"/>
  <c r="AB7" i="11"/>
  <c r="AC7" i="11"/>
  <c r="AD7" i="11"/>
  <c r="AE7" i="11"/>
  <c r="AF7" i="11"/>
  <c r="AH7" i="11"/>
  <c r="AI7" i="11"/>
  <c r="AJ7" i="11"/>
  <c r="A8" i="11"/>
  <c r="J8" i="11"/>
  <c r="L8" i="11"/>
  <c r="Q8" i="11"/>
  <c r="R8" i="11"/>
  <c r="S8" i="11"/>
  <c r="Y8" i="11"/>
  <c r="Z8" i="11"/>
  <c r="AA8" i="11"/>
  <c r="AB8" i="11"/>
  <c r="AC8" i="11"/>
  <c r="AD8" i="11"/>
  <c r="AE8" i="11"/>
  <c r="AF8" i="11"/>
  <c r="AH8" i="11"/>
  <c r="AJ8" i="11"/>
  <c r="A9" i="11"/>
  <c r="J9" i="11"/>
  <c r="L9" i="11"/>
  <c r="Q9" i="11"/>
  <c r="S9" i="11"/>
  <c r="Y9" i="11"/>
  <c r="Z9" i="11"/>
  <c r="AA9" i="11"/>
  <c r="AB9" i="11"/>
  <c r="AC9" i="11"/>
  <c r="AD9" i="11"/>
  <c r="AE9" i="11"/>
  <c r="AF9" i="11"/>
  <c r="A10" i="11"/>
  <c r="J10" i="11"/>
  <c r="L10" i="11"/>
  <c r="Q10" i="11"/>
  <c r="R10" i="11"/>
  <c r="S10" i="11"/>
  <c r="Y10" i="11"/>
  <c r="Z10" i="11"/>
  <c r="AA10" i="11"/>
  <c r="AB10" i="11"/>
  <c r="AC10" i="11"/>
  <c r="AD10" i="11"/>
  <c r="AE10" i="11"/>
  <c r="AF10" i="11"/>
  <c r="AG10" i="11"/>
  <c r="AH10" i="11"/>
  <c r="AJ10" i="11"/>
  <c r="A11" i="11"/>
  <c r="J11" i="11"/>
  <c r="L11" i="11"/>
  <c r="Q11" i="11"/>
  <c r="R11" i="11"/>
  <c r="S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12" i="11"/>
  <c r="J12" i="11"/>
  <c r="L12" i="11"/>
  <c r="Q12" i="11"/>
  <c r="S12" i="11"/>
  <c r="Y12" i="11"/>
  <c r="Z12" i="11"/>
  <c r="AA12" i="11"/>
  <c r="AB12" i="11"/>
  <c r="AC12" i="11"/>
  <c r="AD12" i="11"/>
  <c r="AF12" i="11"/>
  <c r="AG12" i="11"/>
  <c r="A13" i="11"/>
  <c r="J13" i="11"/>
  <c r="L13" i="11"/>
  <c r="Q13" i="11"/>
  <c r="Y13" i="11"/>
  <c r="Z13" i="11"/>
  <c r="AA13" i="11"/>
  <c r="AB13" i="11"/>
  <c r="AC13" i="11"/>
  <c r="AD13" i="11"/>
  <c r="AE13" i="11"/>
  <c r="AF13" i="11"/>
  <c r="A14" i="11"/>
  <c r="J14" i="11"/>
  <c r="L14" i="11"/>
  <c r="Q14" i="11"/>
  <c r="R14" i="11"/>
  <c r="Y14" i="11"/>
  <c r="Z14" i="11"/>
  <c r="AA14" i="11"/>
  <c r="AB14" i="11"/>
  <c r="AC14" i="11"/>
  <c r="AD14" i="11"/>
  <c r="AE14" i="11"/>
  <c r="AF14" i="11"/>
  <c r="AH14" i="11"/>
  <c r="AJ14" i="11"/>
  <c r="A15" i="11"/>
  <c r="J15" i="11"/>
  <c r="L15" i="11"/>
  <c r="Q15" i="11"/>
  <c r="R15" i="11"/>
  <c r="Y15" i="11"/>
  <c r="Z15" i="11"/>
  <c r="AA15" i="11"/>
  <c r="AB15" i="11"/>
  <c r="AC15" i="11"/>
  <c r="AD15" i="11"/>
  <c r="AE15" i="11"/>
  <c r="AF15" i="11"/>
  <c r="AH15" i="11"/>
  <c r="AJ15" i="11"/>
  <c r="A16" i="11"/>
  <c r="J16" i="11"/>
  <c r="L16" i="11"/>
  <c r="Q16" i="11"/>
  <c r="R16" i="11"/>
  <c r="S16" i="11"/>
  <c r="Y16" i="11"/>
  <c r="Z16" i="11"/>
  <c r="AA16" i="11"/>
  <c r="AB16" i="11"/>
  <c r="AC16" i="11"/>
  <c r="AD16" i="11"/>
  <c r="AE16" i="11"/>
  <c r="AF16" i="11"/>
  <c r="AH16" i="11"/>
  <c r="AJ16" i="11"/>
  <c r="A17" i="11"/>
  <c r="J17" i="11"/>
  <c r="L17" i="11"/>
  <c r="Q17" i="11"/>
  <c r="R17" i="11"/>
  <c r="S17" i="11"/>
  <c r="Y17" i="11"/>
  <c r="Z17" i="11"/>
  <c r="AA17" i="11"/>
  <c r="AB17" i="11"/>
  <c r="AC17" i="11"/>
  <c r="AD17" i="11"/>
  <c r="AE17" i="11"/>
  <c r="AF17" i="11"/>
  <c r="AH17" i="11"/>
  <c r="AI17" i="11"/>
  <c r="AJ17" i="11"/>
  <c r="A18" i="11"/>
  <c r="J18" i="11"/>
  <c r="L18" i="11"/>
  <c r="Q18" i="11"/>
  <c r="R18" i="11"/>
  <c r="S18" i="11"/>
  <c r="Y18" i="11"/>
  <c r="Z18" i="11"/>
  <c r="AA18" i="11"/>
  <c r="AB18" i="11"/>
  <c r="AC18" i="11"/>
  <c r="AD18" i="11"/>
  <c r="AE18" i="11"/>
  <c r="AF18" i="11"/>
  <c r="AG18" i="11"/>
  <c r="AH18" i="11"/>
  <c r="AJ18" i="11"/>
  <c r="A19" i="11"/>
  <c r="J19" i="11"/>
  <c r="L19" i="11"/>
  <c r="Q19" i="11"/>
  <c r="S19" i="11"/>
  <c r="Y19" i="11"/>
  <c r="Z19" i="11"/>
  <c r="AA19" i="11"/>
  <c r="AB19" i="11"/>
  <c r="AC19" i="11"/>
  <c r="A20" i="11"/>
  <c r="J20" i="11"/>
  <c r="L20" i="11"/>
  <c r="Q20" i="11"/>
  <c r="R20" i="11"/>
  <c r="S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21" i="11"/>
  <c r="J21" i="11"/>
  <c r="L21" i="11"/>
  <c r="Q21" i="11"/>
  <c r="R21" i="11"/>
  <c r="S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22" i="11"/>
  <c r="J22" i="11"/>
  <c r="L22" i="11"/>
  <c r="Q22" i="11"/>
  <c r="R22" i="11"/>
  <c r="S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23" i="11"/>
  <c r="J23" i="11"/>
  <c r="L23" i="11"/>
  <c r="Q23" i="11"/>
  <c r="R23" i="11"/>
  <c r="S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24" i="11"/>
  <c r="J24" i="11"/>
  <c r="L24" i="11"/>
  <c r="Q24" i="11"/>
  <c r="R24" i="11"/>
  <c r="S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25" i="11"/>
  <c r="J25" i="11"/>
  <c r="L25" i="11"/>
  <c r="Q25" i="11"/>
  <c r="R25" i="11"/>
  <c r="S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26" i="11"/>
  <c r="J26" i="11"/>
  <c r="L26" i="11"/>
  <c r="Q26" i="11"/>
  <c r="R26" i="11"/>
  <c r="S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27" i="11"/>
  <c r="J27" i="11"/>
  <c r="L27" i="11"/>
  <c r="Q27" i="11"/>
  <c r="R27" i="11"/>
  <c r="S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28" i="11"/>
  <c r="J28" i="11"/>
  <c r="L28" i="11"/>
  <c r="Q28" i="11"/>
  <c r="R28" i="11"/>
  <c r="S28" i="11"/>
  <c r="Y28" i="11"/>
  <c r="Z28" i="11"/>
  <c r="AA28" i="11"/>
  <c r="AB28" i="11"/>
  <c r="AC28" i="11"/>
  <c r="AD28" i="11"/>
  <c r="AE28" i="11"/>
  <c r="AF28" i="11"/>
  <c r="AH28" i="11"/>
  <c r="AJ28" i="11"/>
  <c r="A29" i="11"/>
  <c r="J29" i="11"/>
  <c r="L29" i="11"/>
  <c r="Q29" i="11"/>
  <c r="R29" i="11"/>
  <c r="S29" i="11"/>
  <c r="Y29" i="11"/>
  <c r="Z29" i="11"/>
  <c r="AA29" i="11"/>
  <c r="AB29" i="11"/>
  <c r="AC29" i="11"/>
  <c r="AD29" i="11"/>
  <c r="AE29" i="11"/>
  <c r="AF29" i="11"/>
  <c r="AJ29" i="11"/>
  <c r="A30" i="11"/>
  <c r="J30" i="11"/>
  <c r="L30" i="11"/>
  <c r="Q30" i="11"/>
  <c r="R30" i="11"/>
  <c r="S30" i="11"/>
  <c r="Y30" i="11"/>
  <c r="Z30" i="11"/>
  <c r="AA30" i="11"/>
  <c r="AB30" i="11"/>
  <c r="AC30" i="11"/>
  <c r="AD30" i="11"/>
  <c r="AE30" i="11"/>
  <c r="AF30" i="11"/>
  <c r="AJ30" i="11"/>
  <c r="A31" i="11"/>
  <c r="J31" i="11"/>
  <c r="L31" i="11"/>
  <c r="Q31" i="11"/>
  <c r="R31" i="11"/>
  <c r="Y31" i="11"/>
  <c r="Z31" i="11"/>
  <c r="AA31" i="11"/>
  <c r="AB31" i="11"/>
  <c r="AC31" i="11"/>
  <c r="AD31" i="11"/>
  <c r="AE31" i="11"/>
  <c r="AF31" i="11"/>
  <c r="AH31" i="11"/>
  <c r="AJ31" i="11"/>
  <c r="A32" i="11"/>
  <c r="J32" i="11"/>
  <c r="L32" i="11"/>
  <c r="Q32" i="11"/>
  <c r="R32" i="11"/>
  <c r="S32" i="11"/>
  <c r="Y32" i="11"/>
  <c r="Z32" i="11"/>
  <c r="AA32" i="11"/>
  <c r="AB32" i="11"/>
  <c r="AC32" i="11"/>
  <c r="AD32" i="11"/>
  <c r="AE32" i="11"/>
  <c r="AF32" i="11"/>
  <c r="AJ32" i="11"/>
  <c r="A33" i="11"/>
  <c r="J33" i="11"/>
  <c r="L33" i="11"/>
  <c r="Q33" i="11"/>
  <c r="S33" i="11"/>
  <c r="Y33" i="11"/>
  <c r="Z33" i="11"/>
  <c r="AA33" i="11"/>
  <c r="AB33" i="11"/>
  <c r="AC33" i="11"/>
  <c r="AD33" i="11"/>
  <c r="A34" i="11"/>
  <c r="J34" i="11"/>
  <c r="L34" i="11"/>
  <c r="Q34" i="11"/>
  <c r="R34" i="11"/>
  <c r="S34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35" i="11"/>
  <c r="J35" i="11"/>
  <c r="L35" i="11"/>
  <c r="Q35" i="11"/>
  <c r="R35" i="11"/>
  <c r="S35" i="11"/>
  <c r="Y35" i="11"/>
  <c r="Z35" i="11"/>
  <c r="AA35" i="11"/>
  <c r="AB35" i="11"/>
  <c r="AC35" i="11"/>
  <c r="AD35" i="11"/>
  <c r="AE35" i="11"/>
  <c r="AF35" i="11"/>
  <c r="AG35" i="11"/>
  <c r="AH35" i="11"/>
  <c r="AI35" i="11"/>
  <c r="AJ35" i="11"/>
  <c r="A36" i="11"/>
  <c r="J36" i="11"/>
  <c r="L36" i="11"/>
  <c r="Q36" i="11"/>
  <c r="R36" i="11"/>
  <c r="S36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37" i="11"/>
  <c r="J37" i="11"/>
  <c r="L37" i="11"/>
  <c r="Q37" i="11"/>
  <c r="R37" i="11"/>
  <c r="S37" i="11"/>
  <c r="Y37" i="11"/>
  <c r="Z37" i="11"/>
  <c r="AA37" i="11"/>
  <c r="AB37" i="11"/>
  <c r="AC37" i="11"/>
  <c r="AD37" i="11"/>
  <c r="AE37" i="11"/>
  <c r="AF37" i="11"/>
  <c r="AG37" i="11"/>
  <c r="AH37" i="11"/>
  <c r="AI37" i="11"/>
  <c r="AJ37" i="11"/>
  <c r="A38" i="11"/>
  <c r="J38" i="11"/>
  <c r="L38" i="11"/>
  <c r="Q38" i="11"/>
  <c r="R38" i="11"/>
  <c r="S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39" i="11"/>
  <c r="J39" i="11"/>
  <c r="L39" i="11"/>
  <c r="Q39" i="11"/>
  <c r="R39" i="11"/>
  <c r="S39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40" i="11"/>
  <c r="J40" i="11"/>
  <c r="L40" i="11"/>
  <c r="Q40" i="11"/>
  <c r="R40" i="11"/>
  <c r="S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41" i="11"/>
  <c r="J41" i="11"/>
  <c r="L41" i="11"/>
  <c r="Q41" i="11"/>
  <c r="R41" i="11"/>
  <c r="S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42" i="11"/>
  <c r="J42" i="11"/>
  <c r="L42" i="11"/>
  <c r="Q42" i="11"/>
  <c r="R42" i="11"/>
  <c r="S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43" i="11"/>
  <c r="J43" i="11"/>
  <c r="L43" i="11"/>
  <c r="Q43" i="11"/>
  <c r="R43" i="11"/>
  <c r="S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44" i="11"/>
  <c r="J44" i="11"/>
  <c r="L44" i="11"/>
  <c r="Q44" i="11"/>
  <c r="R44" i="11"/>
  <c r="S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45" i="11"/>
  <c r="J45" i="11"/>
  <c r="L45" i="11"/>
  <c r="Q45" i="11"/>
  <c r="R45" i="11"/>
  <c r="S45" i="11"/>
  <c r="Y45" i="11"/>
  <c r="Z45" i="11"/>
  <c r="AA45" i="11"/>
  <c r="AB45" i="11"/>
  <c r="AC45" i="11"/>
  <c r="AD45" i="11"/>
  <c r="AE45" i="11"/>
  <c r="AF45" i="11"/>
  <c r="AH45" i="11"/>
  <c r="AI45" i="11"/>
  <c r="AJ45" i="11"/>
  <c r="A46" i="11"/>
  <c r="J46" i="11"/>
  <c r="L46" i="11"/>
  <c r="Q46" i="11"/>
  <c r="R46" i="11"/>
  <c r="Y46" i="11"/>
  <c r="Z46" i="11"/>
  <c r="AA46" i="11"/>
  <c r="AB46" i="11"/>
  <c r="AC46" i="11"/>
  <c r="AD46" i="11"/>
  <c r="AE46" i="11"/>
  <c r="AF46" i="11"/>
  <c r="AJ46" i="11"/>
  <c r="A47" i="11"/>
  <c r="J47" i="11"/>
  <c r="L47" i="11"/>
  <c r="Q47" i="11"/>
  <c r="Y47" i="11"/>
  <c r="Z47" i="11"/>
  <c r="AA47" i="11"/>
  <c r="AB47" i="11"/>
  <c r="AC47" i="11"/>
  <c r="AD47" i="11"/>
  <c r="AE47" i="11"/>
  <c r="AF47" i="11"/>
  <c r="A48" i="11"/>
  <c r="J48" i="11"/>
  <c r="L48" i="11"/>
  <c r="Q48" i="11"/>
  <c r="S48" i="11"/>
  <c r="Y48" i="11"/>
  <c r="Z48" i="11"/>
  <c r="AA48" i="11"/>
  <c r="AB48" i="11"/>
  <c r="AC48" i="11"/>
  <c r="A49" i="11"/>
  <c r="J49" i="11"/>
  <c r="L49" i="11"/>
  <c r="Q49" i="11"/>
  <c r="R49" i="11"/>
  <c r="S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50" i="11"/>
  <c r="J50" i="11"/>
  <c r="L50" i="11"/>
  <c r="Q50" i="11"/>
  <c r="R50" i="11"/>
  <c r="S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51" i="11"/>
  <c r="J51" i="11"/>
  <c r="L51" i="11"/>
  <c r="Q51" i="11"/>
  <c r="R51" i="11"/>
  <c r="S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52" i="11"/>
  <c r="J52" i="11"/>
  <c r="L52" i="11"/>
  <c r="Q52" i="11"/>
  <c r="R52" i="11"/>
  <c r="S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53" i="11"/>
  <c r="J53" i="11"/>
  <c r="L53" i="11"/>
  <c r="Q53" i="11"/>
  <c r="R53" i="11"/>
  <c r="S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54" i="11"/>
  <c r="J54" i="11"/>
  <c r="L54" i="11"/>
  <c r="Q54" i="11"/>
  <c r="R54" i="11"/>
  <c r="S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55" i="11"/>
  <c r="J55" i="11"/>
  <c r="L55" i="11"/>
  <c r="Q55" i="11"/>
  <c r="R55" i="11"/>
  <c r="S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56" i="11"/>
  <c r="J56" i="11"/>
  <c r="L56" i="11"/>
  <c r="Q56" i="11"/>
  <c r="R56" i="11"/>
  <c r="S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57" i="11"/>
  <c r="J57" i="11"/>
  <c r="L57" i="11"/>
  <c r="Q57" i="11"/>
  <c r="R57" i="11"/>
  <c r="S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58" i="11"/>
  <c r="J58" i="11"/>
  <c r="L58" i="11"/>
  <c r="Q58" i="11"/>
  <c r="R58" i="11"/>
  <c r="S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59" i="11"/>
  <c r="J59" i="11"/>
  <c r="L59" i="11"/>
  <c r="Q59" i="11"/>
  <c r="R59" i="11"/>
  <c r="S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60" i="11"/>
  <c r="J60" i="11"/>
  <c r="L60" i="11"/>
  <c r="Q60" i="11"/>
  <c r="R60" i="11"/>
  <c r="S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61" i="11"/>
  <c r="J61" i="11"/>
  <c r="L61" i="11"/>
  <c r="Q61" i="11"/>
  <c r="R61" i="11"/>
  <c r="S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62" i="11"/>
  <c r="J62" i="11"/>
  <c r="L62" i="11"/>
  <c r="Q62" i="11"/>
  <c r="R62" i="11"/>
  <c r="S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J63" i="11"/>
  <c r="L63" i="11"/>
  <c r="Q63" i="11"/>
  <c r="R63" i="11"/>
  <c r="S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64" i="11"/>
  <c r="J64" i="11"/>
  <c r="L64" i="11"/>
  <c r="Q64" i="11"/>
  <c r="R64" i="11"/>
  <c r="S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4" i="9"/>
  <c r="J4" i="9"/>
  <c r="L4" i="9"/>
  <c r="N4" i="9"/>
  <c r="S4" i="9"/>
  <c r="T4" i="9"/>
  <c r="U4" i="9"/>
  <c r="V4" i="9" a="1"/>
  <c r="W4" i="9" a="1"/>
  <c r="X4" i="9" a="1"/>
  <c r="Y4" i="9" a="1"/>
  <c r="Z4" i="9" a="1"/>
  <c r="AA4" i="9"/>
  <c r="AC4" i="9"/>
  <c r="AE4" i="9"/>
  <c r="AF4" i="9"/>
  <c r="AG4" i="9"/>
  <c r="AH4" i="9"/>
  <c r="AI4" i="9"/>
  <c r="AJ4" i="9"/>
  <c r="AQ4" i="9"/>
  <c r="A5" i="9"/>
  <c r="J5" i="9"/>
  <c r="L5" i="9"/>
  <c r="N5" i="9"/>
  <c r="S5" i="9"/>
  <c r="T5" i="9"/>
  <c r="U5" i="9"/>
  <c r="V5" i="9" a="1"/>
  <c r="W5" i="9" a="1"/>
  <c r="X5" i="9" a="1"/>
  <c r="Y5" i="9" a="1"/>
  <c r="Z5" i="9" a="1"/>
  <c r="AA5" i="9"/>
  <c r="AC5" i="9"/>
  <c r="AE5" i="9"/>
  <c r="AF5" i="9"/>
  <c r="AG5" i="9"/>
  <c r="AH5" i="9"/>
  <c r="AI5" i="9"/>
  <c r="AJ5" i="9"/>
  <c r="AQ5" i="9"/>
  <c r="A6" i="9"/>
  <c r="J6" i="9"/>
  <c r="L6" i="9"/>
  <c r="N6" i="9"/>
  <c r="S6" i="9"/>
  <c r="T6" i="9"/>
  <c r="U6" i="9"/>
  <c r="V6" i="9" a="1"/>
  <c r="W6" i="9" a="1"/>
  <c r="X6" i="9" a="1"/>
  <c r="Y6" i="9" a="1"/>
  <c r="Z6" i="9" a="1"/>
  <c r="AA6" i="9"/>
  <c r="AC6" i="9"/>
  <c r="AE6" i="9"/>
  <c r="AF6" i="9"/>
  <c r="AG6" i="9"/>
  <c r="AH6" i="9"/>
  <c r="AI6" i="9"/>
  <c r="AJ6" i="9"/>
  <c r="AQ6" i="9"/>
  <c r="A7" i="9"/>
  <c r="J7" i="9"/>
  <c r="L7" i="9"/>
  <c r="N7" i="9"/>
  <c r="S7" i="9"/>
  <c r="T7" i="9"/>
  <c r="U7" i="9"/>
  <c r="V7" i="9" a="1"/>
  <c r="W7" i="9" a="1"/>
  <c r="X7" i="9" a="1"/>
  <c r="Y7" i="9" a="1"/>
  <c r="Z7" i="9" a="1"/>
  <c r="AA7" i="9"/>
  <c r="AC7" i="9"/>
  <c r="AE7" i="9"/>
  <c r="AF7" i="9"/>
  <c r="AG7" i="9"/>
  <c r="AH7" i="9"/>
  <c r="AI7" i="9"/>
  <c r="AJ7" i="9"/>
  <c r="AQ7" i="9"/>
  <c r="A8" i="9"/>
  <c r="J8" i="9"/>
  <c r="L8" i="9"/>
  <c r="N8" i="9"/>
  <c r="S8" i="9"/>
  <c r="T8" i="9"/>
  <c r="U8" i="9"/>
  <c r="V8" i="9" a="1"/>
  <c r="W8" i="9" a="1"/>
  <c r="X8" i="9" a="1"/>
  <c r="Y8" i="9" a="1"/>
  <c r="Z8" i="9" a="1"/>
  <c r="AA8" i="9"/>
  <c r="AC8" i="9"/>
  <c r="AE8" i="9"/>
  <c r="AF8" i="9"/>
  <c r="AG8" i="9"/>
  <c r="AH8" i="9"/>
  <c r="AI8" i="9"/>
  <c r="AJ8" i="9"/>
  <c r="AQ8" i="9"/>
  <c r="A9" i="9"/>
  <c r="J9" i="9"/>
  <c r="L9" i="9"/>
  <c r="N9" i="9"/>
  <c r="S9" i="9"/>
  <c r="T9" i="9"/>
  <c r="U9" i="9"/>
  <c r="V9" i="9" a="1"/>
  <c r="W9" i="9" a="1"/>
  <c r="X9" i="9" a="1"/>
  <c r="Y9" i="9" a="1"/>
  <c r="Z9" i="9" a="1"/>
  <c r="AA9" i="9"/>
  <c r="AC9" i="9"/>
  <c r="AE9" i="9"/>
  <c r="AF9" i="9"/>
  <c r="AG9" i="9"/>
  <c r="AH9" i="9"/>
  <c r="AI9" i="9"/>
  <c r="A10" i="9"/>
  <c r="J10" i="9"/>
  <c r="L10" i="9"/>
  <c r="N10" i="9"/>
  <c r="S10" i="9"/>
  <c r="T10" i="9"/>
  <c r="U10" i="9"/>
  <c r="V10" i="9" a="1"/>
  <c r="V10" i="9"/>
  <c r="W10" i="9" a="1"/>
  <c r="W10" i="9"/>
  <c r="X10" i="9" a="1"/>
  <c r="X10" i="9"/>
  <c r="Y10" i="9" a="1"/>
  <c r="Z10" i="9" a="1"/>
  <c r="AA10" i="9"/>
  <c r="AC10" i="9"/>
  <c r="AE10" i="9"/>
  <c r="AF10" i="9"/>
  <c r="AG10" i="9"/>
  <c r="AH10" i="9"/>
  <c r="AI10" i="9"/>
  <c r="AJ10" i="9"/>
  <c r="AQ10" i="9"/>
  <c r="A11" i="9"/>
  <c r="J11" i="9"/>
  <c r="L11" i="9"/>
  <c r="N11" i="9"/>
  <c r="S11" i="9"/>
  <c r="T11" i="9"/>
  <c r="U11" i="9"/>
  <c r="V11" i="9" a="1"/>
  <c r="W11" i="9" a="1"/>
  <c r="X11" i="9" a="1"/>
  <c r="Y11" i="9" a="1"/>
  <c r="Z11" i="9" a="1"/>
  <c r="AA11" i="9"/>
  <c r="AC11" i="9"/>
  <c r="AE11" i="9"/>
  <c r="AF11" i="9"/>
  <c r="AG11" i="9"/>
  <c r="AH11" i="9"/>
  <c r="AI11" i="9"/>
  <c r="AJ11" i="9"/>
  <c r="AQ11" i="9"/>
  <c r="A12" i="9"/>
  <c r="J12" i="9"/>
  <c r="L12" i="9"/>
  <c r="N12" i="9"/>
  <c r="S12" i="9"/>
  <c r="T12" i="9"/>
  <c r="U12" i="9"/>
  <c r="V12" i="9" a="1"/>
  <c r="W12" i="9" a="1"/>
  <c r="X12" i="9" a="1"/>
  <c r="Y12" i="9" a="1"/>
  <c r="Z12" i="9" a="1"/>
  <c r="AA12" i="9"/>
  <c r="AC12" i="9"/>
  <c r="AE12" i="9"/>
  <c r="AF12" i="9"/>
  <c r="AG12" i="9"/>
  <c r="AH12" i="9"/>
  <c r="AI12" i="9"/>
  <c r="AJ12" i="9"/>
  <c r="AQ12" i="9"/>
  <c r="A13" i="9"/>
  <c r="J13" i="9"/>
  <c r="L13" i="9"/>
  <c r="N13" i="9"/>
  <c r="S13" i="9"/>
  <c r="T13" i="9"/>
  <c r="U13" i="9"/>
  <c r="V13" i="9" a="1"/>
  <c r="W13" i="9" a="1"/>
  <c r="X13" i="9" a="1"/>
  <c r="Y13" i="9" a="1"/>
  <c r="Z13" i="9" a="1"/>
  <c r="AA13" i="9"/>
  <c r="AC13" i="9"/>
  <c r="AE13" i="9"/>
  <c r="AF13" i="9"/>
  <c r="AG13" i="9"/>
  <c r="AH13" i="9"/>
  <c r="AI13" i="9"/>
  <c r="AJ13" i="9"/>
  <c r="AQ13" i="9"/>
  <c r="A14" i="9"/>
  <c r="J14" i="9"/>
  <c r="L14" i="9"/>
  <c r="N14" i="9"/>
  <c r="S14" i="9"/>
  <c r="T14" i="9"/>
  <c r="U14" i="9"/>
  <c r="V14" i="9" a="1"/>
  <c r="W14" i="9" a="1"/>
  <c r="X14" i="9" a="1"/>
  <c r="Y14" i="9" a="1"/>
  <c r="Z14" i="9" a="1"/>
  <c r="AA14" i="9"/>
  <c r="AC14" i="9"/>
  <c r="AE14" i="9"/>
  <c r="AF14" i="9"/>
  <c r="AG14" i="9"/>
  <c r="AH14" i="9"/>
  <c r="AI14" i="9"/>
  <c r="AJ14" i="9"/>
  <c r="AQ14" i="9"/>
  <c r="A15" i="9"/>
  <c r="J15" i="9"/>
  <c r="L15" i="9"/>
  <c r="N15" i="9"/>
  <c r="S15" i="9"/>
  <c r="T15" i="9"/>
  <c r="U15" i="9"/>
  <c r="V15" i="9" a="1"/>
  <c r="W15" i="9" a="1"/>
  <c r="X15" i="9" a="1"/>
  <c r="Y15" i="9" a="1"/>
  <c r="Z15" i="9" a="1"/>
  <c r="Z15" i="9"/>
  <c r="AA15" i="9"/>
  <c r="AC15" i="9"/>
  <c r="AE15" i="9"/>
  <c r="AG15" i="9"/>
  <c r="AH15" i="9"/>
  <c r="AI15" i="9"/>
  <c r="A16" i="9"/>
  <c r="J16" i="9"/>
  <c r="L16" i="9"/>
  <c r="N16" i="9"/>
  <c r="S16" i="9"/>
  <c r="T16" i="9"/>
  <c r="U16" i="9"/>
  <c r="V16" i="9" a="1"/>
  <c r="V16" i="9"/>
  <c r="W16" i="9" a="1"/>
  <c r="W16" i="9"/>
  <c r="X16" i="9" a="1"/>
  <c r="X16" i="9"/>
  <c r="Y16" i="9" a="1"/>
  <c r="Y16" i="9"/>
  <c r="Z16" i="9" a="1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17" i="9"/>
  <c r="J17" i="9"/>
  <c r="L17" i="9"/>
  <c r="N17" i="9"/>
  <c r="S17" i="9"/>
  <c r="T17" i="9"/>
  <c r="U17" i="9"/>
  <c r="V17" i="9" a="1"/>
  <c r="W17" i="9" a="1"/>
  <c r="X17" i="9" a="1"/>
  <c r="Y17" i="9" a="1"/>
  <c r="Z17" i="9" a="1"/>
  <c r="AA17" i="9"/>
  <c r="AC17" i="9"/>
  <c r="AE17" i="9"/>
  <c r="AF17" i="9"/>
  <c r="AG17" i="9"/>
  <c r="AH17" i="9"/>
  <c r="AI17" i="9"/>
  <c r="AJ17" i="9"/>
  <c r="AQ17" i="9"/>
  <c r="A18" i="9"/>
  <c r="J18" i="9"/>
  <c r="L18" i="9"/>
  <c r="N18" i="9"/>
  <c r="S18" i="9"/>
  <c r="T18" i="9"/>
  <c r="U18" i="9"/>
  <c r="V18" i="9" a="1"/>
  <c r="W18" i="9" a="1"/>
  <c r="X18" i="9" a="1"/>
  <c r="Y18" i="9" a="1"/>
  <c r="Z18" i="9" a="1"/>
  <c r="AA18" i="9"/>
  <c r="AC18" i="9"/>
  <c r="AE18" i="9"/>
  <c r="AF18" i="9"/>
  <c r="AG18" i="9"/>
  <c r="AH18" i="9"/>
  <c r="AI18" i="9"/>
  <c r="AJ18" i="9"/>
  <c r="AQ18" i="9"/>
  <c r="A19" i="9"/>
  <c r="J19" i="9"/>
  <c r="L19" i="9"/>
  <c r="N19" i="9"/>
  <c r="S19" i="9"/>
  <c r="T19" i="9"/>
  <c r="U19" i="9"/>
  <c r="V19" i="9" a="1"/>
  <c r="W19" i="9" a="1"/>
  <c r="X19" i="9" a="1"/>
  <c r="Y19" i="9" a="1"/>
  <c r="Z19" i="9" a="1"/>
  <c r="AA19" i="9"/>
  <c r="AC19" i="9"/>
  <c r="AE19" i="9"/>
  <c r="AF19" i="9"/>
  <c r="AG19" i="9"/>
  <c r="AH19" i="9"/>
  <c r="AI19" i="9"/>
  <c r="AJ19" i="9"/>
  <c r="AQ19" i="9"/>
  <c r="A20" i="9"/>
  <c r="J20" i="9"/>
  <c r="L20" i="9"/>
  <c r="N20" i="9"/>
  <c r="S20" i="9"/>
  <c r="T20" i="9"/>
  <c r="U20" i="9"/>
  <c r="V20" i="9" a="1"/>
  <c r="W20" i="9" a="1"/>
  <c r="X20" i="9" a="1"/>
  <c r="Y20" i="9" a="1"/>
  <c r="Z20" i="9" a="1"/>
  <c r="AA20" i="9"/>
  <c r="AC20" i="9"/>
  <c r="AE20" i="9"/>
  <c r="AF20" i="9"/>
  <c r="AG20" i="9"/>
  <c r="AH20" i="9"/>
  <c r="AI20" i="9"/>
  <c r="AJ20" i="9"/>
  <c r="AQ20" i="9"/>
  <c r="A21" i="9"/>
  <c r="J21" i="9"/>
  <c r="L21" i="9"/>
  <c r="N21" i="9"/>
  <c r="S21" i="9"/>
  <c r="V21" i="9" a="1"/>
  <c r="V21" i="9"/>
  <c r="W21" i="9" a="1"/>
  <c r="W21" i="9"/>
  <c r="X21" i="9" a="1"/>
  <c r="X21" i="9"/>
  <c r="Y21" i="9" a="1"/>
  <c r="Y21" i="9"/>
  <c r="Z21" i="9" a="1"/>
  <c r="Z21" i="9"/>
  <c r="AA21" i="9"/>
  <c r="AB21" i="9"/>
  <c r="AC21" i="9"/>
  <c r="AD21" i="9"/>
  <c r="AE21" i="9"/>
  <c r="AG21" i="9"/>
  <c r="AH21" i="9"/>
  <c r="AI21" i="9"/>
  <c r="AJ21" i="9"/>
  <c r="AL21" i="9"/>
  <c r="A22" i="9"/>
  <c r="J22" i="9"/>
  <c r="L22" i="9"/>
  <c r="N22" i="9"/>
  <c r="S22" i="9"/>
  <c r="T22" i="9"/>
  <c r="U22" i="9"/>
  <c r="V22" i="9" a="1"/>
  <c r="V22" i="9"/>
  <c r="W22" i="9" a="1"/>
  <c r="W22" i="9"/>
  <c r="X22" i="9" a="1"/>
  <c r="X22" i="9"/>
  <c r="Y22" i="9" a="1"/>
  <c r="Y22" i="9"/>
  <c r="Z22" i="9" a="1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23" i="9"/>
  <c r="J23" i="9"/>
  <c r="L23" i="9"/>
  <c r="N23" i="9"/>
  <c r="S23" i="9"/>
  <c r="T23" i="9"/>
  <c r="U23" i="9"/>
  <c r="V23" i="9" a="1"/>
  <c r="W23" i="9" a="1"/>
  <c r="X23" i="9" a="1"/>
  <c r="Y23" i="9" a="1"/>
  <c r="Z23" i="9" a="1"/>
  <c r="AA23" i="9"/>
  <c r="AC23" i="9"/>
  <c r="AE23" i="9"/>
  <c r="AF23" i="9"/>
  <c r="AG23" i="9"/>
  <c r="AH23" i="9"/>
  <c r="AI23" i="9"/>
  <c r="AJ23" i="9"/>
  <c r="AQ23" i="9"/>
  <c r="A24" i="9"/>
  <c r="J24" i="9"/>
  <c r="L24" i="9"/>
  <c r="N24" i="9"/>
  <c r="S24" i="9"/>
  <c r="T24" i="9"/>
  <c r="U24" i="9"/>
  <c r="V24" i="9" a="1"/>
  <c r="W24" i="9" a="1"/>
  <c r="X24" i="9" a="1"/>
  <c r="Y24" i="9" a="1"/>
  <c r="Z24" i="9" a="1"/>
  <c r="AA24" i="9"/>
  <c r="AC24" i="9"/>
  <c r="AE24" i="9"/>
  <c r="AF24" i="9"/>
  <c r="AG24" i="9"/>
  <c r="AH24" i="9"/>
  <c r="AI24" i="9"/>
  <c r="AJ24" i="9"/>
  <c r="AQ24" i="9"/>
  <c r="A25" i="9"/>
  <c r="J25" i="9"/>
  <c r="L25" i="9"/>
  <c r="N25" i="9"/>
  <c r="S25" i="9"/>
  <c r="T25" i="9"/>
  <c r="U25" i="9"/>
  <c r="V25" i="9" a="1"/>
  <c r="W25" i="9" a="1"/>
  <c r="X25" i="9" a="1"/>
  <c r="Y25" i="9" a="1"/>
  <c r="Z25" i="9" a="1"/>
  <c r="AA25" i="9"/>
  <c r="AC25" i="9"/>
  <c r="AE25" i="9"/>
  <c r="AF25" i="9"/>
  <c r="AG25" i="9"/>
  <c r="AH25" i="9"/>
  <c r="AI25" i="9"/>
  <c r="AJ25" i="9"/>
  <c r="AQ25" i="9"/>
  <c r="A26" i="9"/>
  <c r="J26" i="9"/>
  <c r="L26" i="9"/>
  <c r="N26" i="9"/>
  <c r="S26" i="9"/>
  <c r="T26" i="9"/>
  <c r="U26" i="9"/>
  <c r="V26" i="9" a="1"/>
  <c r="W26" i="9" a="1"/>
  <c r="X26" i="9" a="1"/>
  <c r="Y26" i="9" a="1"/>
  <c r="Z26" i="9" a="1"/>
  <c r="AA26" i="9"/>
  <c r="AC26" i="9"/>
  <c r="AE26" i="9"/>
  <c r="AF26" i="9"/>
  <c r="AG26" i="9"/>
  <c r="AH26" i="9"/>
  <c r="AI26" i="9"/>
  <c r="AJ26" i="9"/>
  <c r="A27" i="9"/>
  <c r="J27" i="9"/>
  <c r="L27" i="9"/>
  <c r="N27" i="9"/>
  <c r="S27" i="9"/>
  <c r="T27" i="9"/>
  <c r="U27" i="9"/>
  <c r="V27" i="9" a="1"/>
  <c r="V27" i="9"/>
  <c r="W27" i="9" a="1"/>
  <c r="W27" i="9"/>
  <c r="X27" i="9" a="1"/>
  <c r="X27" i="9"/>
  <c r="Y27" i="9" a="1"/>
  <c r="Y27" i="9"/>
  <c r="Z27" i="9" a="1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28" i="9"/>
  <c r="J28" i="9"/>
  <c r="L28" i="9"/>
  <c r="N28" i="9"/>
  <c r="S28" i="9"/>
  <c r="T28" i="9"/>
  <c r="U28" i="9"/>
  <c r="V28" i="9" a="1"/>
  <c r="V28" i="9"/>
  <c r="W28" i="9" a="1"/>
  <c r="W28" i="9"/>
  <c r="X28" i="9" a="1"/>
  <c r="X28" i="9"/>
  <c r="Y28" i="9" a="1"/>
  <c r="Y28" i="9"/>
  <c r="Z28" i="9" a="1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29" i="9"/>
  <c r="J29" i="9"/>
  <c r="L29" i="9"/>
  <c r="N29" i="9"/>
  <c r="S29" i="9"/>
  <c r="T29" i="9"/>
  <c r="U29" i="9"/>
  <c r="V29" i="9" a="1"/>
  <c r="V29" i="9"/>
  <c r="W29" i="9" a="1"/>
  <c r="W29" i="9"/>
  <c r="X29" i="9" a="1"/>
  <c r="Y29" i="9" a="1"/>
  <c r="Z29" i="9" a="1"/>
  <c r="AA29" i="9"/>
  <c r="AC29" i="9"/>
  <c r="AE29" i="9"/>
  <c r="AF29" i="9"/>
  <c r="AG29" i="9"/>
  <c r="AH29" i="9"/>
  <c r="AI29" i="9"/>
  <c r="AJ29" i="9"/>
  <c r="AQ29" i="9"/>
  <c r="A30" i="9"/>
  <c r="J30" i="9"/>
  <c r="L30" i="9"/>
  <c r="N30" i="9"/>
  <c r="S30" i="9"/>
  <c r="T30" i="9"/>
  <c r="U30" i="9"/>
  <c r="V30" i="9" a="1"/>
  <c r="W30" i="9" a="1"/>
  <c r="X30" i="9" a="1"/>
  <c r="Y30" i="9" a="1"/>
  <c r="Z30" i="9" a="1"/>
  <c r="AA30" i="9"/>
  <c r="AC30" i="9"/>
  <c r="AE30" i="9"/>
  <c r="AF30" i="9"/>
  <c r="AG30" i="9"/>
  <c r="AH30" i="9"/>
  <c r="AI30" i="9"/>
  <c r="AJ30" i="9"/>
  <c r="AQ30" i="9"/>
  <c r="A31" i="9"/>
  <c r="J31" i="9"/>
  <c r="L31" i="9"/>
  <c r="N31" i="9"/>
  <c r="S31" i="9"/>
  <c r="T31" i="9"/>
  <c r="U31" i="9"/>
  <c r="V31" i="9" a="1"/>
  <c r="W31" i="9" a="1"/>
  <c r="X31" i="9" a="1"/>
  <c r="Y31" i="9" a="1"/>
  <c r="Z31" i="9" a="1"/>
  <c r="AA31" i="9"/>
  <c r="AC31" i="9"/>
  <c r="AE31" i="9"/>
  <c r="AF31" i="9"/>
  <c r="AG31" i="9"/>
  <c r="AH31" i="9"/>
  <c r="AI31" i="9"/>
  <c r="AJ31" i="9"/>
  <c r="AQ31" i="9"/>
  <c r="A32" i="9"/>
  <c r="J32" i="9"/>
  <c r="L32" i="9"/>
  <c r="N32" i="9"/>
  <c r="S32" i="9"/>
  <c r="T32" i="9"/>
  <c r="U32" i="9"/>
  <c r="V32" i="9" a="1"/>
  <c r="W32" i="9" a="1"/>
  <c r="X32" i="9" a="1"/>
  <c r="Y32" i="9" a="1"/>
  <c r="Z32" i="9" a="1"/>
  <c r="AA32" i="9"/>
  <c r="AC32" i="9"/>
  <c r="AE32" i="9"/>
  <c r="AG32" i="9"/>
  <c r="AH32" i="9"/>
  <c r="AI32" i="9"/>
  <c r="A33" i="9"/>
  <c r="J33" i="9"/>
  <c r="L33" i="9"/>
  <c r="N33" i="9"/>
  <c r="S33" i="9"/>
  <c r="T33" i="9"/>
  <c r="U33" i="9"/>
  <c r="V33" i="9" a="1"/>
  <c r="V33" i="9"/>
  <c r="W33" i="9" a="1"/>
  <c r="W33" i="9"/>
  <c r="X33" i="9" a="1"/>
  <c r="X33" i="9"/>
  <c r="Y33" i="9" a="1"/>
  <c r="Y33" i="9"/>
  <c r="Z33" i="9" a="1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AR33" i="9"/>
  <c r="AH3" i="9"/>
  <c r="A40" i="10"/>
  <c r="J40" i="10"/>
  <c r="M40" i="10"/>
  <c r="R40" i="10"/>
  <c r="U40" i="10" a="1"/>
  <c r="V40" i="10"/>
  <c r="W40" i="10" a="1"/>
  <c r="W40" i="10" s="1"/>
  <c r="X40" i="10" a="1"/>
  <c r="X40" i="10" s="1"/>
  <c r="Z40" i="10"/>
  <c r="AA40" i="10" a="1"/>
  <c r="AA40" i="10" s="1"/>
  <c r="AC40" i="10"/>
  <c r="AD40" i="10"/>
  <c r="AE40" i="10"/>
  <c r="AF40" i="10"/>
  <c r="A41" i="10"/>
  <c r="J41" i="10"/>
  <c r="M41" i="10"/>
  <c r="AB41" i="10" s="1"/>
  <c r="R41" i="10"/>
  <c r="U41" i="10" a="1"/>
  <c r="U41" i="10" s="1"/>
  <c r="V41" i="10"/>
  <c r="W41" i="10" a="1"/>
  <c r="X41" i="10" a="1"/>
  <c r="X41" i="10" s="1"/>
  <c r="Z41" i="10"/>
  <c r="AA41" i="10" a="1"/>
  <c r="AA41" i="10" s="1"/>
  <c r="AC41" i="10"/>
  <c r="AD41" i="10"/>
  <c r="AE41" i="10"/>
  <c r="A42" i="10"/>
  <c r="J42" i="10"/>
  <c r="M42" i="10"/>
  <c r="AB42" i="10" s="1"/>
  <c r="R42" i="10"/>
  <c r="U42" i="10" a="1"/>
  <c r="V42" i="10"/>
  <c r="W42" i="10" a="1"/>
  <c r="X42" i="10" a="1"/>
  <c r="X42" i="10" s="1"/>
  <c r="Z42" i="10"/>
  <c r="AA42" i="10" a="1"/>
  <c r="AA42" i="10" s="1"/>
  <c r="AC42" i="10"/>
  <c r="AD42" i="10"/>
  <c r="AE42" i="10"/>
  <c r="AF42" i="10"/>
  <c r="A43" i="10"/>
  <c r="J43" i="10"/>
  <c r="M43" i="10"/>
  <c r="AB43" i="10" s="1"/>
  <c r="R43" i="10"/>
  <c r="T43" i="10" s="1"/>
  <c r="U43" i="10" a="1"/>
  <c r="U43" i="10" s="1"/>
  <c r="V43" i="10"/>
  <c r="W43" i="10" a="1"/>
  <c r="X43" i="10" a="1"/>
  <c r="X43" i="10" s="1"/>
  <c r="Z43" i="10"/>
  <c r="AA43" i="10" a="1"/>
  <c r="AA43" i="10" s="1"/>
  <c r="AC43" i="10"/>
  <c r="AD43" i="10"/>
  <c r="AE43" i="10"/>
  <c r="AF43" i="10"/>
  <c r="A44" i="10"/>
  <c r="J44" i="10"/>
  <c r="M44" i="10"/>
  <c r="AB44" i="10" s="1"/>
  <c r="R44" i="10"/>
  <c r="U44" i="10" a="1"/>
  <c r="V44" i="10"/>
  <c r="W44" i="10" a="1"/>
  <c r="X44" i="10" a="1"/>
  <c r="X44" i="10" s="1"/>
  <c r="Z44" i="10"/>
  <c r="AA44" i="10" a="1"/>
  <c r="AA44" i="10" s="1"/>
  <c r="AC44" i="10"/>
  <c r="AD44" i="10"/>
  <c r="AE44" i="10"/>
  <c r="AF44" i="10"/>
  <c r="A45" i="10"/>
  <c r="J45" i="10"/>
  <c r="M45" i="10"/>
  <c r="AB45" i="10" s="1"/>
  <c r="R45" i="10"/>
  <c r="U45" i="10" a="1"/>
  <c r="U45" i="10" s="1"/>
  <c r="V45" i="10"/>
  <c r="W45" i="10" a="1"/>
  <c r="X45" i="10" a="1"/>
  <c r="X45" i="10" s="1"/>
  <c r="Z45" i="10"/>
  <c r="AA45" i="10" a="1"/>
  <c r="AA45" i="10" s="1"/>
  <c r="AC45" i="10"/>
  <c r="AD45" i="10"/>
  <c r="AE45" i="10"/>
  <c r="A46" i="10"/>
  <c r="J46" i="10"/>
  <c r="M46" i="10"/>
  <c r="AB46" i="10" s="1"/>
  <c r="R46" i="10"/>
  <c r="AF46" i="10" s="1"/>
  <c r="U46" i="10" a="1"/>
  <c r="V46" i="10"/>
  <c r="W46" i="10" a="1"/>
  <c r="X46" i="10" a="1"/>
  <c r="Z46" i="10"/>
  <c r="AA46" i="10" a="1"/>
  <c r="AA46" i="10" s="1"/>
  <c r="AC46" i="10"/>
  <c r="AD46" i="10"/>
  <c r="AE46" i="10"/>
  <c r="N3" i="9"/>
  <c r="L4" i="11"/>
  <c r="Q4" i="11"/>
  <c r="G46" i="13"/>
  <c r="I46" i="13" s="1"/>
  <c r="G47" i="13"/>
  <c r="I47" i="13" s="1"/>
  <c r="G48" i="13"/>
  <c r="I48" i="13" s="1"/>
  <c r="G49" i="13"/>
  <c r="I49" i="13" s="1"/>
  <c r="G50" i="13"/>
  <c r="I50" i="13" s="1"/>
  <c r="G51" i="13"/>
  <c r="I51" i="13" s="1"/>
  <c r="G52" i="13"/>
  <c r="I52" i="13" s="1"/>
  <c r="G3" i="13"/>
  <c r="I3" i="13" s="1"/>
  <c r="B19" i="1"/>
  <c r="B20" i="1"/>
  <c r="B43" i="1" a="1"/>
  <c r="A150" i="16"/>
  <c r="A44" i="1"/>
  <c r="B38" i="1" a="1"/>
  <c r="B44" i="1" a="1"/>
  <c r="B42" i="1" a="1"/>
  <c r="D37" i="1"/>
  <c r="B41" i="1"/>
  <c r="B40" i="1"/>
  <c r="B16" i="1"/>
  <c r="B15" i="1"/>
  <c r="J3" i="10"/>
  <c r="B29" i="1"/>
  <c r="J48" i="1"/>
  <c r="J47" i="1"/>
  <c r="J46" i="1"/>
  <c r="J45" i="1"/>
  <c r="J44" i="1"/>
  <c r="J43" i="1"/>
  <c r="J42" i="1"/>
  <c r="J41" i="1"/>
  <c r="J40" i="1"/>
  <c r="E154" i="16" s="1"/>
  <c r="J39" i="1"/>
  <c r="E153" i="16" s="1"/>
  <c r="J38" i="1"/>
  <c r="E152" i="16" s="1"/>
  <c r="J37" i="1"/>
  <c r="E151" i="16" s="1"/>
  <c r="F37" i="1"/>
  <c r="B33" i="1"/>
  <c r="B22" i="1"/>
  <c r="B18" i="1"/>
  <c r="E256" i="16"/>
  <c r="E255" i="16"/>
  <c r="E254" i="16"/>
  <c r="E253" i="16"/>
  <c r="E252" i="16"/>
  <c r="E251" i="16"/>
  <c r="E250" i="16"/>
  <c r="E249" i="16"/>
  <c r="E248" i="16"/>
  <c r="E247" i="16"/>
  <c r="E246" i="16"/>
  <c r="E245" i="16"/>
  <c r="E244" i="16"/>
  <c r="E243" i="16"/>
  <c r="E242" i="16"/>
  <c r="E237" i="16"/>
  <c r="E236" i="16"/>
  <c r="E231" i="16"/>
  <c r="E230" i="16"/>
  <c r="E229" i="16"/>
  <c r="E228" i="16"/>
  <c r="E227" i="16"/>
  <c r="E226" i="16"/>
  <c r="E55" i="16"/>
  <c r="E54" i="16"/>
  <c r="E32" i="16"/>
  <c r="E31" i="16"/>
  <c r="E30" i="16"/>
  <c r="E29" i="16"/>
  <c r="E28" i="16"/>
  <c r="E26" i="16"/>
  <c r="E21" i="16"/>
  <c r="E20" i="16"/>
  <c r="E19" i="16"/>
  <c r="E18" i="16"/>
  <c r="E17" i="16"/>
  <c r="E16" i="16"/>
  <c r="E15" i="16"/>
  <c r="E14" i="16"/>
  <c r="E13" i="16"/>
  <c r="E12" i="16"/>
  <c r="E11" i="16"/>
  <c r="E4" i="16"/>
  <c r="E8" i="16" s="1"/>
  <c r="E2" i="16"/>
  <c r="E5" i="16" s="1"/>
  <c r="Q5" i="13" l="1"/>
  <c r="P7" i="13"/>
  <c r="P11" i="13"/>
  <c r="P20" i="13"/>
  <c r="P25" i="13"/>
  <c r="P37" i="13"/>
  <c r="Q6" i="13"/>
  <c r="P8" i="13"/>
  <c r="P15" i="13"/>
  <c r="P23" i="13"/>
  <c r="P34" i="13"/>
  <c r="AG5" i="12"/>
  <c r="AH5" i="12" s="1"/>
  <c r="I6" i="12"/>
  <c r="W8" i="12"/>
  <c r="X8" i="12" s="1"/>
  <c r="AD8" i="12" s="1"/>
  <c r="I9" i="12"/>
  <c r="W10" i="12"/>
  <c r="X10" i="12" s="1"/>
  <c r="AC10" i="12"/>
  <c r="AE10" i="12" s="1"/>
  <c r="X11" i="12"/>
  <c r="AD11" i="12" s="1"/>
  <c r="X21" i="12"/>
  <c r="I23" i="12"/>
  <c r="P23" i="12" s="1"/>
  <c r="I39" i="12"/>
  <c r="X39" i="12"/>
  <c r="AD39" i="12" s="1"/>
  <c r="W43" i="12"/>
  <c r="X43" i="12" s="1"/>
  <c r="AD43" i="12" s="1"/>
  <c r="I44" i="12"/>
  <c r="X44" i="12"/>
  <c r="I15" i="12"/>
  <c r="Q15" i="12"/>
  <c r="W16" i="12"/>
  <c r="X16" i="12" s="1"/>
  <c r="I17" i="12"/>
  <c r="Y17" i="12"/>
  <c r="W24" i="12"/>
  <c r="X24" i="12" s="1"/>
  <c r="AE24" i="12" s="1"/>
  <c r="I41" i="12"/>
  <c r="W19" i="12"/>
  <c r="X19" i="12" s="1"/>
  <c r="AD19" i="12" s="1"/>
  <c r="AC32" i="12"/>
  <c r="AE32" i="12" s="1"/>
  <c r="I33" i="12"/>
  <c r="Y37" i="12"/>
  <c r="I43" i="12"/>
  <c r="I34" i="12"/>
  <c r="X34" i="12"/>
  <c r="I14" i="12"/>
  <c r="P14" i="12" s="1"/>
  <c r="I16" i="12"/>
  <c r="AE18" i="12"/>
  <c r="AC20" i="12"/>
  <c r="Q23" i="12"/>
  <c r="Q24" i="12"/>
  <c r="AH31" i="12"/>
  <c r="Q34" i="12"/>
  <c r="AC35" i="12"/>
  <c r="AE35" i="12" s="1"/>
  <c r="Q40" i="12"/>
  <c r="X40" i="12"/>
  <c r="P44" i="12"/>
  <c r="AE13" i="12"/>
  <c r="Q14" i="12"/>
  <c r="P20" i="12"/>
  <c r="W20" i="12"/>
  <c r="X20" i="12" s="1"/>
  <c r="AD20" i="12" s="1"/>
  <c r="X23" i="12"/>
  <c r="AD23" i="12" s="1"/>
  <c r="AE31" i="12"/>
  <c r="AF31" i="12" s="1"/>
  <c r="AF32" i="12"/>
  <c r="I35" i="12"/>
  <c r="AC39" i="12"/>
  <c r="AE39" i="12" s="1"/>
  <c r="I42" i="12"/>
  <c r="Q42" i="12" s="1"/>
  <c r="AF42" i="12" s="1"/>
  <c r="AE6" i="12"/>
  <c r="X7" i="12"/>
  <c r="AD7" i="12" s="1"/>
  <c r="AE7" i="12"/>
  <c r="X9" i="12"/>
  <c r="AD9" i="12" s="1"/>
  <c r="I10" i="12"/>
  <c r="P10" i="12" s="1"/>
  <c r="Q10" i="12"/>
  <c r="AD10" i="12"/>
  <c r="I12" i="12"/>
  <c r="P12" i="12" s="1"/>
  <c r="Q12" i="12"/>
  <c r="W12" i="12"/>
  <c r="X12" i="12" s="1"/>
  <c r="AD12" i="12" s="1"/>
  <c r="X14" i="12"/>
  <c r="AD14" i="12" s="1"/>
  <c r="AE15" i="12"/>
  <c r="AF15" i="12" s="1"/>
  <c r="P16" i="12"/>
  <c r="AG16" i="12" s="1"/>
  <c r="AH16" i="12" s="1"/>
  <c r="AD16" i="12"/>
  <c r="X17" i="12"/>
  <c r="AE17" i="12" s="1"/>
  <c r="W22" i="12"/>
  <c r="X22" i="12" s="1"/>
  <c r="AD22" i="12" s="1"/>
  <c r="AE23" i="12"/>
  <c r="AF23" i="12" s="1"/>
  <c r="P33" i="12"/>
  <c r="W33" i="12"/>
  <c r="X33" i="12" s="1"/>
  <c r="W37" i="12"/>
  <c r="X37" i="12" s="1"/>
  <c r="AE37" i="12" s="1"/>
  <c r="AE38" i="12"/>
  <c r="AF38" i="12" s="1"/>
  <c r="I7" i="12"/>
  <c r="I8" i="12"/>
  <c r="AE8" i="12"/>
  <c r="I11" i="12"/>
  <c r="Q11" i="12" s="1"/>
  <c r="AE12" i="12"/>
  <c r="AF12" i="12" s="1"/>
  <c r="I13" i="12"/>
  <c r="AD13" i="12"/>
  <c r="AE14" i="12"/>
  <c r="AF14" i="12" s="1"/>
  <c r="I18" i="12"/>
  <c r="I19" i="12"/>
  <c r="AE19" i="12"/>
  <c r="I21" i="12"/>
  <c r="I22" i="12"/>
  <c r="AE22" i="12"/>
  <c r="P34" i="12"/>
  <c r="I36" i="12"/>
  <c r="W36" i="12"/>
  <c r="X36" i="12" s="1"/>
  <c r="AD36" i="12" s="1"/>
  <c r="I37" i="12"/>
  <c r="W41" i="12"/>
  <c r="X41" i="12" s="1"/>
  <c r="AD41" i="12" s="1"/>
  <c r="I45" i="12"/>
  <c r="P4" i="13"/>
  <c r="R4" i="13" s="1"/>
  <c r="P5" i="13"/>
  <c r="R5" i="13" s="1"/>
  <c r="P6" i="13"/>
  <c r="R6" i="13" s="1"/>
  <c r="I7" i="13"/>
  <c r="Q7" i="13" s="1"/>
  <c r="I8" i="13"/>
  <c r="I9" i="13"/>
  <c r="Q9" i="13" s="1"/>
  <c r="P9" i="13"/>
  <c r="R9" i="13" s="1"/>
  <c r="I10" i="13"/>
  <c r="Q10" i="13" s="1"/>
  <c r="Q11" i="13"/>
  <c r="I13" i="13"/>
  <c r="Q13" i="13" s="1"/>
  <c r="P13" i="13"/>
  <c r="R13" i="13" s="1"/>
  <c r="I15" i="13"/>
  <c r="I17" i="13"/>
  <c r="Q17" i="13" s="1"/>
  <c r="P19" i="13"/>
  <c r="I21" i="13"/>
  <c r="Q21" i="13" s="1"/>
  <c r="P21" i="13"/>
  <c r="R21" i="13" s="1"/>
  <c r="I22" i="13"/>
  <c r="Q22" i="13" s="1"/>
  <c r="P22" i="13"/>
  <c r="R22" i="13" s="1"/>
  <c r="I23" i="13"/>
  <c r="Q23" i="13" s="1"/>
  <c r="P26" i="13"/>
  <c r="I32" i="13"/>
  <c r="Q32" i="13" s="1"/>
  <c r="I35" i="13"/>
  <c r="Q35" i="13" s="1"/>
  <c r="P35" i="13"/>
  <c r="R35" i="13" s="1"/>
  <c r="I39" i="13"/>
  <c r="Q39" i="13" s="1"/>
  <c r="I40" i="13"/>
  <c r="Q40" i="13" s="1"/>
  <c r="I41" i="13"/>
  <c r="Q41" i="13" s="1"/>
  <c r="P43" i="13"/>
  <c r="P44" i="13"/>
  <c r="P41" i="13"/>
  <c r="R41" i="13" s="1"/>
  <c r="I42" i="13"/>
  <c r="Q42" i="13" s="1"/>
  <c r="P45" i="13"/>
  <c r="Q4" i="13"/>
  <c r="R7" i="13"/>
  <c r="P10" i="13"/>
  <c r="R10" i="13" s="1"/>
  <c r="R11" i="13"/>
  <c r="P14" i="13"/>
  <c r="R14" i="13" s="1"/>
  <c r="R23" i="13"/>
  <c r="I24" i="13"/>
  <c r="Q24" i="13" s="1"/>
  <c r="P24" i="13"/>
  <c r="R24" i="13" s="1"/>
  <c r="I26" i="13"/>
  <c r="Q26" i="13" s="1"/>
  <c r="I27" i="13"/>
  <c r="Q27" i="13" s="1"/>
  <c r="P27" i="13"/>
  <c r="R27" i="13" s="1"/>
  <c r="I28" i="13"/>
  <c r="Q28" i="13" s="1"/>
  <c r="P28" i="13"/>
  <c r="R28" i="13" s="1"/>
  <c r="I29" i="13"/>
  <c r="Q29" i="13" s="1"/>
  <c r="P29" i="13"/>
  <c r="R29" i="13" s="1"/>
  <c r="I30" i="13"/>
  <c r="Q30" i="13" s="1"/>
  <c r="I33" i="13"/>
  <c r="Q33" i="13" s="1"/>
  <c r="I36" i="13"/>
  <c r="Q36" i="13" s="1"/>
  <c r="R37" i="13"/>
  <c r="I38" i="13"/>
  <c r="Q38" i="13" s="1"/>
  <c r="P39" i="13"/>
  <c r="R39" i="13" s="1"/>
  <c r="P42" i="13"/>
  <c r="R42" i="13" s="1"/>
  <c r="I44" i="13"/>
  <c r="Q44" i="13" s="1"/>
  <c r="I16" i="13"/>
  <c r="Q16" i="13" s="1"/>
  <c r="I19" i="13"/>
  <c r="Q19" i="13" s="1"/>
  <c r="I25" i="13"/>
  <c r="Q25" i="13" s="1"/>
  <c r="I34" i="13"/>
  <c r="Q34" i="13" s="1"/>
  <c r="P40" i="13"/>
  <c r="R40" i="13" s="1"/>
  <c r="I43" i="13"/>
  <c r="Q43" i="13" s="1"/>
  <c r="I12" i="13"/>
  <c r="Q12" i="13" s="1"/>
  <c r="P12" i="13"/>
  <c r="R12" i="13" s="1"/>
  <c r="I14" i="13"/>
  <c r="Q14" i="13" s="1"/>
  <c r="P16" i="13"/>
  <c r="P17" i="13"/>
  <c r="R17" i="13" s="1"/>
  <c r="I18" i="13"/>
  <c r="Q18" i="13" s="1"/>
  <c r="P18" i="13"/>
  <c r="R18" i="13" s="1"/>
  <c r="I20" i="13"/>
  <c r="Q20" i="13" s="1"/>
  <c r="P30" i="13"/>
  <c r="I31" i="13"/>
  <c r="Q31" i="13" s="1"/>
  <c r="P31" i="13"/>
  <c r="R31" i="13" s="1"/>
  <c r="P32" i="13"/>
  <c r="R32" i="13" s="1"/>
  <c r="P33" i="13"/>
  <c r="P36" i="13"/>
  <c r="I37" i="13"/>
  <c r="Q37" i="13" s="1"/>
  <c r="P38" i="13"/>
  <c r="I45" i="13"/>
  <c r="Q45" i="13" s="1"/>
  <c r="X4" i="10"/>
  <c r="S5" i="10"/>
  <c r="U6" i="10"/>
  <c r="AA6" i="10"/>
  <c r="U7" i="10"/>
  <c r="W7" i="10"/>
  <c r="X7" i="10"/>
  <c r="Y7" i="10" s="1"/>
  <c r="AH7" i="10" s="1"/>
  <c r="AI7" i="10" s="1"/>
  <c r="T8" i="10"/>
  <c r="W9" i="10"/>
  <c r="X9" i="10"/>
  <c r="Y9" i="10" s="1"/>
  <c r="AA9" i="10"/>
  <c r="U10" i="10"/>
  <c r="W10" i="10"/>
  <c r="W13" i="10"/>
  <c r="AA13" i="10"/>
  <c r="T14" i="10"/>
  <c r="U15" i="10"/>
  <c r="AA15" i="10"/>
  <c r="AA21" i="10"/>
  <c r="W24" i="10"/>
  <c r="W27" i="10"/>
  <c r="S37" i="10"/>
  <c r="U37" i="10"/>
  <c r="X38" i="10"/>
  <c r="U23" i="10"/>
  <c r="X23" i="10"/>
  <c r="AA23" i="10"/>
  <c r="U27" i="10"/>
  <c r="S36" i="10"/>
  <c r="W36" i="10"/>
  <c r="S39" i="10"/>
  <c r="AA38" i="10"/>
  <c r="AA39" i="10"/>
  <c r="X8" i="10"/>
  <c r="AK20" i="10"/>
  <c r="X22" i="10"/>
  <c r="AA24" i="10"/>
  <c r="W25" i="10"/>
  <c r="X25" i="10"/>
  <c r="Y25" i="10" s="1"/>
  <c r="U26" i="10"/>
  <c r="U38" i="10"/>
  <c r="W39" i="10"/>
  <c r="X39" i="10"/>
  <c r="Y39" i="10" s="1"/>
  <c r="AG39" i="10" s="1"/>
  <c r="AA7" i="10"/>
  <c r="AA11" i="10"/>
  <c r="S12" i="10"/>
  <c r="W12" i="10"/>
  <c r="X14" i="10"/>
  <c r="W15" i="10"/>
  <c r="U22" i="10"/>
  <c r="W22" i="10"/>
  <c r="S24" i="10"/>
  <c r="AA26" i="10"/>
  <c r="T37" i="10"/>
  <c r="U39" i="10"/>
  <c r="AA8" i="10"/>
  <c r="X10" i="10"/>
  <c r="Y10" i="10" s="1"/>
  <c r="AG10" i="10" s="1"/>
  <c r="AA10" i="10"/>
  <c r="T12" i="10"/>
  <c r="X12" i="10"/>
  <c r="Y12" i="10" s="1"/>
  <c r="U13" i="10"/>
  <c r="U14" i="10"/>
  <c r="AA25" i="10"/>
  <c r="S27" i="10"/>
  <c r="T36" i="10"/>
  <c r="W38" i="10"/>
  <c r="X15" i="10"/>
  <c r="Y15" i="10" s="1"/>
  <c r="W37" i="10"/>
  <c r="X37" i="10"/>
  <c r="Y37" i="10" s="1"/>
  <c r="W8" i="10"/>
  <c r="S9" i="10"/>
  <c r="U9" i="10"/>
  <c r="U11" i="10"/>
  <c r="U12" i="10"/>
  <c r="X13" i="10"/>
  <c r="Y13" i="10" s="1"/>
  <c r="W14" i="10"/>
  <c r="U21" i="10"/>
  <c r="W21" i="10"/>
  <c r="X21" i="10"/>
  <c r="Y21" i="10" s="1"/>
  <c r="AA22" i="10"/>
  <c r="X24" i="10"/>
  <c r="Y24" i="10" s="1"/>
  <c r="AH24" i="10" s="1"/>
  <c r="AG24" i="10"/>
  <c r="AG25" i="10"/>
  <c r="AJ25" i="10" s="1"/>
  <c r="T26" i="10"/>
  <c r="X26" i="10"/>
  <c r="AA27" i="10"/>
  <c r="X36" i="10"/>
  <c r="Y36" i="10" s="1"/>
  <c r="AA36" i="10"/>
  <c r="AA37" i="10"/>
  <c r="U4" i="10"/>
  <c r="AA4" i="10"/>
  <c r="U5" i="10"/>
  <c r="W5" i="10"/>
  <c r="X6" i="10"/>
  <c r="AG7" i="10"/>
  <c r="AJ7" i="10" s="1"/>
  <c r="U8" i="10"/>
  <c r="T9" i="10"/>
  <c r="S10" i="10"/>
  <c r="AJ10" i="10" s="1"/>
  <c r="AA14" i="10"/>
  <c r="T23" i="10"/>
  <c r="T24" i="10"/>
  <c r="AI24" i="10" s="1"/>
  <c r="U25" i="10"/>
  <c r="W26" i="10"/>
  <c r="U36" i="10"/>
  <c r="W4" i="10"/>
  <c r="X5" i="10"/>
  <c r="Y5" i="10" s="1"/>
  <c r="AA5" i="10"/>
  <c r="W6" i="10"/>
  <c r="S8" i="10"/>
  <c r="AH10" i="10"/>
  <c r="AI10" i="10" s="1"/>
  <c r="W11" i="10"/>
  <c r="X11" i="10"/>
  <c r="Y11" i="10" s="1"/>
  <c r="AG11" i="10" s="1"/>
  <c r="AJ11" i="10" s="1"/>
  <c r="AA12" i="10"/>
  <c r="W23" i="10"/>
  <c r="U24" i="10"/>
  <c r="X27" i="10"/>
  <c r="Y27" i="10" s="1"/>
  <c r="AF45" i="10"/>
  <c r="T41" i="10"/>
  <c r="U42" i="10"/>
  <c r="X46" i="10"/>
  <c r="W42" i="10"/>
  <c r="Y42" i="10" s="1"/>
  <c r="AH42" i="10" s="1"/>
  <c r="T45" i="10"/>
  <c r="W44" i="10"/>
  <c r="Y44" i="10" s="1"/>
  <c r="AH44" i="10" s="1"/>
  <c r="W45" i="10"/>
  <c r="Y45" i="10" s="1"/>
  <c r="U40" i="10"/>
  <c r="W41" i="10"/>
  <c r="Y41" i="10" s="1"/>
  <c r="W43" i="10"/>
  <c r="Y43" i="10" s="1"/>
  <c r="U46" i="10"/>
  <c r="W46" i="10"/>
  <c r="U44" i="10"/>
  <c r="AG6" i="11"/>
  <c r="AG7" i="11"/>
  <c r="AG8" i="11"/>
  <c r="AI8" i="11"/>
  <c r="R12" i="11"/>
  <c r="AE12" i="11"/>
  <c r="AI18" i="11"/>
  <c r="AG29" i="11"/>
  <c r="AH30" i="11"/>
  <c r="AI30" i="11" s="1"/>
  <c r="AD19" i="11"/>
  <c r="AE19" i="11"/>
  <c r="AF19" i="11"/>
  <c r="AG19" i="11"/>
  <c r="AI28" i="11"/>
  <c r="AG30" i="11"/>
  <c r="AG32" i="11"/>
  <c r="R33" i="11"/>
  <c r="S46" i="11"/>
  <c r="AG46" i="11" s="1"/>
  <c r="AD48" i="11"/>
  <c r="AE48" i="11"/>
  <c r="AF48" i="11"/>
  <c r="AG48" i="11"/>
  <c r="AJ62" i="11"/>
  <c r="S47" i="11"/>
  <c r="AG47" i="11" s="1"/>
  <c r="AH46" i="11"/>
  <c r="AI46" i="11" s="1"/>
  <c r="R48" i="11"/>
  <c r="R9" i="11"/>
  <c r="AI10" i="11"/>
  <c r="R13" i="11"/>
  <c r="S13" i="11"/>
  <c r="AG13" i="11" s="1"/>
  <c r="AI14" i="11"/>
  <c r="AG16" i="11"/>
  <c r="AH32" i="11"/>
  <c r="AI32" i="11" s="1"/>
  <c r="AE33" i="11"/>
  <c r="AG9" i="11"/>
  <c r="S14" i="11"/>
  <c r="AG14" i="11" s="1"/>
  <c r="S15" i="11"/>
  <c r="AG15" i="11" s="1"/>
  <c r="AI15" i="11"/>
  <c r="AI16" i="11"/>
  <c r="AG17" i="11"/>
  <c r="R19" i="11"/>
  <c r="AG28" i="11"/>
  <c r="AH29" i="11"/>
  <c r="AI29" i="11" s="1"/>
  <c r="S31" i="11"/>
  <c r="AG31" i="11" s="1"/>
  <c r="AI31" i="11"/>
  <c r="AF33" i="11"/>
  <c r="AG33" i="11" s="1"/>
  <c r="AG45" i="11"/>
  <c r="R47" i="11"/>
  <c r="X6" i="9"/>
  <c r="Y8" i="9"/>
  <c r="AB8" i="9" s="1"/>
  <c r="AD8" i="9" s="1"/>
  <c r="Z12" i="9"/>
  <c r="Y17" i="9"/>
  <c r="AB17" i="9" s="1"/>
  <c r="AD17" i="9" s="1"/>
  <c r="X23" i="9"/>
  <c r="X30" i="9"/>
  <c r="AJ9" i="9"/>
  <c r="AQ9" i="9"/>
  <c r="V12" i="9"/>
  <c r="X14" i="9"/>
  <c r="W17" i="9"/>
  <c r="W19" i="9"/>
  <c r="Y20" i="9"/>
  <c r="AB20" i="9" s="1"/>
  <c r="AD20" i="9" s="1"/>
  <c r="Y24" i="9"/>
  <c r="AB24" i="9" s="1"/>
  <c r="AD24" i="9" s="1"/>
  <c r="X26" i="9"/>
  <c r="W31" i="9"/>
  <c r="Y15" i="9"/>
  <c r="AB15" i="9" s="1"/>
  <c r="AD15" i="9" s="1"/>
  <c r="AF15" i="9"/>
  <c r="AJ15" i="9"/>
  <c r="AQ15" i="9"/>
  <c r="Z18" i="9"/>
  <c r="Z23" i="9"/>
  <c r="W26" i="9"/>
  <c r="Z31" i="9"/>
  <c r="T21" i="9"/>
  <c r="U21" i="9"/>
  <c r="AM21" i="9" s="1"/>
  <c r="AF21" i="9"/>
  <c r="AK21" i="9" s="1"/>
  <c r="AR21" i="9" s="1"/>
  <c r="W24" i="9"/>
  <c r="V26" i="9"/>
  <c r="Y30" i="9"/>
  <c r="AB30" i="9" s="1"/>
  <c r="AD30" i="9" s="1"/>
  <c r="Y32" i="9"/>
  <c r="AB32" i="9" s="1"/>
  <c r="AQ26" i="9"/>
  <c r="V31" i="9"/>
  <c r="AD32" i="9"/>
  <c r="AK32" i="9" s="1"/>
  <c r="AR32" i="9" s="1"/>
  <c r="AF32" i="9"/>
  <c r="AJ32" i="9"/>
  <c r="AL32" i="9" s="1"/>
  <c r="AN32" i="9"/>
  <c r="AQ32" i="9"/>
  <c r="Z10" i="9"/>
  <c r="X12" i="9"/>
  <c r="Y13" i="9"/>
  <c r="AB13" i="9" s="1"/>
  <c r="AD13" i="9" s="1"/>
  <c r="V15" i="9"/>
  <c r="W18" i="9"/>
  <c r="X20" i="9"/>
  <c r="W25" i="9"/>
  <c r="Z30" i="9"/>
  <c r="Y4" i="9"/>
  <c r="AB4" i="9" s="1"/>
  <c r="AD4" i="9" s="1"/>
  <c r="X5" i="9"/>
  <c r="Z6" i="9"/>
  <c r="V8" i="9"/>
  <c r="V9" i="9"/>
  <c r="V11" i="9"/>
  <c r="Y12" i="9"/>
  <c r="AB12" i="9" s="1"/>
  <c r="AD12" i="9" s="1"/>
  <c r="Z13" i="9"/>
  <c r="W15" i="9"/>
  <c r="X18" i="9"/>
  <c r="Y19" i="9"/>
  <c r="AB19" i="9" s="1"/>
  <c r="AD19" i="9" s="1"/>
  <c r="W23" i="9"/>
  <c r="X25" i="9"/>
  <c r="Z26" i="9"/>
  <c r="X29" i="9"/>
  <c r="Y31" i="9"/>
  <c r="AB31" i="9" s="1"/>
  <c r="AD31" i="9" s="1"/>
  <c r="V6" i="9"/>
  <c r="W7" i="9"/>
  <c r="Z8" i="9"/>
  <c r="X11" i="9"/>
  <c r="X13" i="9"/>
  <c r="X15" i="9"/>
  <c r="V19" i="9"/>
  <c r="Y23" i="9"/>
  <c r="AB23" i="9" s="1"/>
  <c r="AD23" i="9" s="1"/>
  <c r="Y25" i="9"/>
  <c r="AB25" i="9" s="1"/>
  <c r="AD25" i="9" s="1"/>
  <c r="Y29" i="9"/>
  <c r="AB29" i="9" s="1"/>
  <c r="AD29" i="9" s="1"/>
  <c r="V32" i="9"/>
  <c r="V4" i="9"/>
  <c r="W4" i="9"/>
  <c r="Y5" i="9"/>
  <c r="AB5" i="9" s="1"/>
  <c r="AD5" i="9" s="1"/>
  <c r="V7" i="9"/>
  <c r="W8" i="9"/>
  <c r="X9" i="9"/>
  <c r="W11" i="9"/>
  <c r="V13" i="9"/>
  <c r="Y14" i="9"/>
  <c r="AB14" i="9" s="1"/>
  <c r="AD14" i="9" s="1"/>
  <c r="V17" i="9"/>
  <c r="Y18" i="9"/>
  <c r="AB18" i="9" s="1"/>
  <c r="AD18" i="9" s="1"/>
  <c r="V20" i="9"/>
  <c r="V24" i="9"/>
  <c r="Z25" i="9"/>
  <c r="W30" i="9"/>
  <c r="W32" i="9"/>
  <c r="X4" i="9"/>
  <c r="W5" i="9"/>
  <c r="Y6" i="9"/>
  <c r="AB6" i="9" s="1"/>
  <c r="AD6" i="9" s="1"/>
  <c r="X7" i="9"/>
  <c r="X8" i="9"/>
  <c r="Z9" i="9"/>
  <c r="Y10" i="9"/>
  <c r="AB10" i="9" s="1"/>
  <c r="AD10" i="9" s="1"/>
  <c r="W12" i="9"/>
  <c r="W13" i="9"/>
  <c r="Z14" i="9"/>
  <c r="Z17" i="9"/>
  <c r="X19" i="9"/>
  <c r="Z20" i="9"/>
  <c r="V23" i="9"/>
  <c r="Z24" i="9"/>
  <c r="Y26" i="9"/>
  <c r="AB26" i="9" s="1"/>
  <c r="AD26" i="9" s="1"/>
  <c r="X31" i="9"/>
  <c r="Z4" i="9"/>
  <c r="Z5" i="9"/>
  <c r="Y7" i="9"/>
  <c r="AB7" i="9" s="1"/>
  <c r="AD7" i="9" s="1"/>
  <c r="W9" i="9"/>
  <c r="Y11" i="9"/>
  <c r="AB11" i="9" s="1"/>
  <c r="AD11" i="9" s="1"/>
  <c r="V14" i="9"/>
  <c r="X17" i="9"/>
  <c r="Z19" i="9"/>
  <c r="X24" i="9"/>
  <c r="V30" i="9"/>
  <c r="Z32" i="9"/>
  <c r="V5" i="9"/>
  <c r="W6" i="9"/>
  <c r="Z7" i="9"/>
  <c r="Y9" i="9"/>
  <c r="AB9" i="9" s="1"/>
  <c r="AD9" i="9" s="1"/>
  <c r="AK9" i="9" s="1"/>
  <c r="AR9" i="9" s="1"/>
  <c r="Z11" i="9"/>
  <c r="W14" i="9"/>
  <c r="V18" i="9"/>
  <c r="W20" i="9"/>
  <c r="V25" i="9"/>
  <c r="Z29" i="9"/>
  <c r="X32" i="9"/>
  <c r="AB40" i="10"/>
  <c r="S43" i="10"/>
  <c r="S42" i="10"/>
  <c r="S46" i="10"/>
  <c r="S45" i="10"/>
  <c r="S44" i="10"/>
  <c r="S41" i="10"/>
  <c r="S40" i="10"/>
  <c r="Y40" i="10"/>
  <c r="T46" i="10"/>
  <c r="T44" i="10"/>
  <c r="T42" i="10"/>
  <c r="T40" i="10"/>
  <c r="AF41" i="10"/>
  <c r="E142" i="16"/>
  <c r="E141" i="16"/>
  <c r="E147" i="16"/>
  <c r="E146" i="16"/>
  <c r="E156" i="16"/>
  <c r="E161" i="16"/>
  <c r="E162" i="16"/>
  <c r="E158" i="16"/>
  <c r="E160" i="16"/>
  <c r="E157" i="16"/>
  <c r="E155" i="16"/>
  <c r="E159" i="16"/>
  <c r="E46" i="16"/>
  <c r="E42" i="16"/>
  <c r="E59" i="16" s="1"/>
  <c r="E145" i="16"/>
  <c r="E144" i="16"/>
  <c r="P6" i="12" l="1"/>
  <c r="AG6" i="12" s="1"/>
  <c r="AH6" i="12" s="1"/>
  <c r="Q6" i="12"/>
  <c r="AF6" i="12" s="1"/>
  <c r="Q9" i="12"/>
  <c r="P9" i="12"/>
  <c r="AG9" i="12" s="1"/>
  <c r="AH9" i="12" s="1"/>
  <c r="AD21" i="12"/>
  <c r="AE21" i="12"/>
  <c r="Q39" i="12"/>
  <c r="AF39" i="12" s="1"/>
  <c r="P39" i="12"/>
  <c r="AG39" i="12" s="1"/>
  <c r="AH39" i="12" s="1"/>
  <c r="AE44" i="12"/>
  <c r="AD44" i="12"/>
  <c r="AG44" i="12" s="1"/>
  <c r="AH44" i="12" s="1"/>
  <c r="Q41" i="12"/>
  <c r="P41" i="12"/>
  <c r="AG41" i="12" s="1"/>
  <c r="AH41" i="12" s="1"/>
  <c r="P43" i="12"/>
  <c r="AG43" i="12" s="1"/>
  <c r="AH43" i="12" s="1"/>
  <c r="Q43" i="12"/>
  <c r="AD34" i="12"/>
  <c r="AG34" i="12" s="1"/>
  <c r="AH34" i="12" s="1"/>
  <c r="AE34" i="12"/>
  <c r="AF34" i="12" s="1"/>
  <c r="AE40" i="12"/>
  <c r="AF40" i="12" s="1"/>
  <c r="AD40" i="12"/>
  <c r="AG40" i="12" s="1"/>
  <c r="AH40" i="12" s="1"/>
  <c r="Q35" i="12"/>
  <c r="AF35" i="12" s="1"/>
  <c r="P35" i="12"/>
  <c r="AG35" i="12" s="1"/>
  <c r="AH35" i="12" s="1"/>
  <c r="AE33" i="12"/>
  <c r="AD33" i="12"/>
  <c r="AG33" i="12" s="1"/>
  <c r="AH33" i="12" s="1"/>
  <c r="P7" i="12"/>
  <c r="AG7" i="12" s="1"/>
  <c r="AH7" i="12" s="1"/>
  <c r="Q7" i="12"/>
  <c r="AF7" i="12" s="1"/>
  <c r="Q8" i="12"/>
  <c r="AF8" i="12" s="1"/>
  <c r="P8" i="12"/>
  <c r="AG8" i="12" s="1"/>
  <c r="AH8" i="12" s="1"/>
  <c r="P19" i="12"/>
  <c r="AG19" i="12" s="1"/>
  <c r="AH19" i="12" s="1"/>
  <c r="Q19" i="12"/>
  <c r="AF19" i="12" s="1"/>
  <c r="Q45" i="12"/>
  <c r="AF45" i="12" s="1"/>
  <c r="P45" i="12"/>
  <c r="AG45" i="12" s="1"/>
  <c r="AH45" i="12" s="1"/>
  <c r="AF10" i="12"/>
  <c r="AE11" i="12"/>
  <c r="AF11" i="12" s="1"/>
  <c r="Q13" i="12"/>
  <c r="AF13" i="12" s="1"/>
  <c r="P17" i="12"/>
  <c r="Q36" i="12"/>
  <c r="P37" i="12"/>
  <c r="AE43" i="12"/>
  <c r="AF43" i="12" s="1"/>
  <c r="AD24" i="12"/>
  <c r="AG24" i="12" s="1"/>
  <c r="AH24" i="12" s="1"/>
  <c r="Q44" i="12"/>
  <c r="AE16" i="12"/>
  <c r="Q17" i="12"/>
  <c r="AF17" i="12" s="1"/>
  <c r="AF24" i="12"/>
  <c r="AD37" i="12"/>
  <c r="Q16" i="12"/>
  <c r="Q21" i="12"/>
  <c r="Q37" i="12"/>
  <c r="AF37" i="12" s="1"/>
  <c r="P36" i="12"/>
  <c r="AG36" i="12" s="1"/>
  <c r="AH36" i="12" s="1"/>
  <c r="AE9" i="12"/>
  <c r="AF9" i="12" s="1"/>
  <c r="AG10" i="12"/>
  <c r="AH10" i="12" s="1"/>
  <c r="AE36" i="12"/>
  <c r="AF36" i="12" s="1"/>
  <c r="P15" i="12"/>
  <c r="AG15" i="12" s="1"/>
  <c r="AH15" i="12" s="1"/>
  <c r="Q33" i="12"/>
  <c r="P42" i="12"/>
  <c r="AG42" i="12" s="1"/>
  <c r="AH42" i="12" s="1"/>
  <c r="AG14" i="12"/>
  <c r="AH14" i="12" s="1"/>
  <c r="AG12" i="12"/>
  <c r="AH12" i="12" s="1"/>
  <c r="Q22" i="12"/>
  <c r="AF22" i="12" s="1"/>
  <c r="P11" i="12"/>
  <c r="AG11" i="12" s="1"/>
  <c r="AH11" i="12" s="1"/>
  <c r="P21" i="12"/>
  <c r="AG21" i="12" s="1"/>
  <c r="AH21" i="12" s="1"/>
  <c r="P22" i="12"/>
  <c r="AG22" i="12" s="1"/>
  <c r="AH22" i="12" s="1"/>
  <c r="AG23" i="12"/>
  <c r="AH23" i="12" s="1"/>
  <c r="AD17" i="12"/>
  <c r="Q18" i="12"/>
  <c r="AF18" i="12" s="1"/>
  <c r="AE20" i="12"/>
  <c r="AF20" i="12" s="1"/>
  <c r="AG20" i="12"/>
  <c r="AH20" i="12" s="1"/>
  <c r="P13" i="12"/>
  <c r="AG13" i="12" s="1"/>
  <c r="AH13" i="12" s="1"/>
  <c r="P18" i="12"/>
  <c r="AG18" i="12" s="1"/>
  <c r="AH18" i="12" s="1"/>
  <c r="AE41" i="12"/>
  <c r="AF41" i="12" s="1"/>
  <c r="Q8" i="13"/>
  <c r="R8" i="13"/>
  <c r="R15" i="13"/>
  <c r="Q15" i="13"/>
  <c r="R16" i="13"/>
  <c r="R30" i="13"/>
  <c r="R33" i="13"/>
  <c r="R34" i="13"/>
  <c r="R36" i="13"/>
  <c r="R38" i="13"/>
  <c r="R43" i="13"/>
  <c r="R19" i="13"/>
  <c r="R26" i="13"/>
  <c r="R45" i="13"/>
  <c r="R25" i="13"/>
  <c r="R20" i="13"/>
  <c r="R44" i="13"/>
  <c r="AH9" i="10"/>
  <c r="AI9" i="10" s="1"/>
  <c r="AG9" i="10"/>
  <c r="AJ9" i="10" s="1"/>
  <c r="AG12" i="10"/>
  <c r="AJ12" i="10" s="1"/>
  <c r="AH12" i="10"/>
  <c r="AI12" i="10" s="1"/>
  <c r="AG15" i="10"/>
  <c r="AJ15" i="10" s="1"/>
  <c r="AH15" i="10"/>
  <c r="AI15" i="10" s="1"/>
  <c r="AG37" i="10"/>
  <c r="AJ37" i="10" s="1"/>
  <c r="AK37" i="10" s="1"/>
  <c r="AH37" i="10"/>
  <c r="AI37" i="10" s="1"/>
  <c r="AG13" i="10"/>
  <c r="AJ13" i="10" s="1"/>
  <c r="AH13" i="10"/>
  <c r="AI13" i="10" s="1"/>
  <c r="AG21" i="10"/>
  <c r="AJ21" i="10" s="1"/>
  <c r="AH21" i="10"/>
  <c r="AI21" i="10" s="1"/>
  <c r="AK25" i="10"/>
  <c r="AL25" i="10"/>
  <c r="AG36" i="10"/>
  <c r="AJ36" i="10" s="1"/>
  <c r="AH36" i="10"/>
  <c r="AI36" i="10" s="1"/>
  <c r="AK7" i="10"/>
  <c r="AL7" i="10"/>
  <c r="AK10" i="10"/>
  <c r="AL10" i="10"/>
  <c r="AG5" i="10"/>
  <c r="AJ5" i="10" s="1"/>
  <c r="AH5" i="10"/>
  <c r="AI5" i="10" s="1"/>
  <c r="AK11" i="10"/>
  <c r="AL11" i="10"/>
  <c r="AH27" i="10"/>
  <c r="AI27" i="10" s="1"/>
  <c r="AG27" i="10"/>
  <c r="AJ27" i="10" s="1"/>
  <c r="Y6" i="10"/>
  <c r="Y4" i="10"/>
  <c r="Y23" i="10"/>
  <c r="AL37" i="10"/>
  <c r="AH39" i="10"/>
  <c r="AI39" i="10" s="1"/>
  <c r="Y14" i="10"/>
  <c r="AH25" i="10"/>
  <c r="AI25" i="10" s="1"/>
  <c r="AJ39" i="10"/>
  <c r="AJ24" i="10"/>
  <c r="Y22" i="10"/>
  <c r="Y38" i="10"/>
  <c r="Y8" i="10"/>
  <c r="AH11" i="10"/>
  <c r="AI11" i="10" s="1"/>
  <c r="Y26" i="10"/>
  <c r="AG45" i="10"/>
  <c r="AJ45" i="10" s="1"/>
  <c r="AG43" i="10"/>
  <c r="AJ43" i="10" s="1"/>
  <c r="AG42" i="10"/>
  <c r="AJ42" i="10" s="1"/>
  <c r="AI42" i="10"/>
  <c r="AH41" i="10"/>
  <c r="AI41" i="10" s="1"/>
  <c r="AH43" i="10"/>
  <c r="AI43" i="10" s="1"/>
  <c r="AG41" i="10"/>
  <c r="AH45" i="10"/>
  <c r="AI45" i="10" s="1"/>
  <c r="AG44" i="10"/>
  <c r="AJ44" i="10" s="1"/>
  <c r="AI44" i="10"/>
  <c r="Y46" i="10"/>
  <c r="AH12" i="11"/>
  <c r="AI12" i="11" s="1"/>
  <c r="AJ12" i="11"/>
  <c r="AJ33" i="11"/>
  <c r="AH33" i="11"/>
  <c r="AI33" i="11" s="1"/>
  <c r="AJ48" i="11"/>
  <c r="AH48" i="11"/>
  <c r="AI48" i="11" s="1"/>
  <c r="AJ9" i="11"/>
  <c r="AH9" i="11"/>
  <c r="AI9" i="11" s="1"/>
  <c r="AH13" i="11"/>
  <c r="AI13" i="11" s="1"/>
  <c r="AJ13" i="11"/>
  <c r="AJ19" i="11"/>
  <c r="AH19" i="11"/>
  <c r="AI19" i="11" s="1"/>
  <c r="AH47" i="11"/>
  <c r="AI47" i="11" s="1"/>
  <c r="AJ47" i="11"/>
  <c r="AL8" i="9"/>
  <c r="AM8" i="9" s="1"/>
  <c r="AK8" i="9"/>
  <c r="AL17" i="9"/>
  <c r="AM17" i="9" s="1"/>
  <c r="AK17" i="9"/>
  <c r="AL20" i="9"/>
  <c r="AM20" i="9" s="1"/>
  <c r="AK20" i="9"/>
  <c r="AL24" i="9"/>
  <c r="AM24" i="9" s="1"/>
  <c r="AK24" i="9"/>
  <c r="AQ21" i="9"/>
  <c r="AN21" i="9"/>
  <c r="AL30" i="9"/>
  <c r="AM30" i="9" s="1"/>
  <c r="AK30" i="9"/>
  <c r="AP32" i="9"/>
  <c r="AO32" i="9"/>
  <c r="AL13" i="9"/>
  <c r="AM13" i="9" s="1"/>
  <c r="AK13" i="9"/>
  <c r="AL4" i="9"/>
  <c r="AM4" i="9" s="1"/>
  <c r="AK4" i="9"/>
  <c r="AL12" i="9"/>
  <c r="AM12" i="9" s="1"/>
  <c r="AK12" i="9"/>
  <c r="AL19" i="9"/>
  <c r="AM19" i="9" s="1"/>
  <c r="AK19" i="9"/>
  <c r="AL31" i="9"/>
  <c r="AM31" i="9" s="1"/>
  <c r="AK31" i="9"/>
  <c r="AL23" i="9"/>
  <c r="AM23" i="9" s="1"/>
  <c r="AK23" i="9"/>
  <c r="AL25" i="9"/>
  <c r="AM25" i="9" s="1"/>
  <c r="AK25" i="9"/>
  <c r="AL29" i="9"/>
  <c r="AM29" i="9" s="1"/>
  <c r="AK29" i="9"/>
  <c r="AL5" i="9"/>
  <c r="AM5" i="9" s="1"/>
  <c r="AK5" i="9"/>
  <c r="AL14" i="9"/>
  <c r="AM14" i="9" s="1"/>
  <c r="AK14" i="9"/>
  <c r="AL18" i="9"/>
  <c r="AM18" i="9" s="1"/>
  <c r="AK18" i="9"/>
  <c r="AL6" i="9"/>
  <c r="AM6" i="9" s="1"/>
  <c r="AK6" i="9"/>
  <c r="AL10" i="9"/>
  <c r="AM10" i="9" s="1"/>
  <c r="AK10" i="9"/>
  <c r="AL26" i="9"/>
  <c r="AM26" i="9" s="1"/>
  <c r="AK26" i="9"/>
  <c r="AL7" i="9"/>
  <c r="AM7" i="9" s="1"/>
  <c r="AK7" i="9"/>
  <c r="AL11" i="9"/>
  <c r="AM11" i="9" s="1"/>
  <c r="AK11" i="9"/>
  <c r="AN9" i="9"/>
  <c r="AK15" i="9"/>
  <c r="AL15" i="9"/>
  <c r="AM15" i="9" s="1"/>
  <c r="AM32" i="9"/>
  <c r="AL9" i="9"/>
  <c r="AM9" i="9" s="1"/>
  <c r="AK43" i="10"/>
  <c r="AL43" i="10"/>
  <c r="AK45" i="10"/>
  <c r="AL45" i="10"/>
  <c r="AG40" i="10"/>
  <c r="AJ40" i="10" s="1"/>
  <c r="AH40" i="10"/>
  <c r="AI40" i="10" s="1"/>
  <c r="E63" i="16"/>
  <c r="E5" i="6"/>
  <c r="E4" i="6" a="1"/>
  <c r="AG17" i="12" l="1"/>
  <c r="AH17" i="12" s="1"/>
  <c r="AF33" i="12"/>
  <c r="AF16" i="12"/>
  <c r="AF21" i="12"/>
  <c r="AF44" i="12"/>
  <c r="AG37" i="12"/>
  <c r="AH37" i="12" s="1"/>
  <c r="AK9" i="10"/>
  <c r="AL9" i="10"/>
  <c r="AK12" i="10"/>
  <c r="AL12" i="10"/>
  <c r="AK15" i="10"/>
  <c r="AL15" i="10"/>
  <c r="AK13" i="10"/>
  <c r="AL13" i="10"/>
  <c r="AK21" i="10"/>
  <c r="AL21" i="10"/>
  <c r="AL36" i="10"/>
  <c r="AK36" i="10"/>
  <c r="AL5" i="10"/>
  <c r="AK5" i="10"/>
  <c r="AL27" i="10"/>
  <c r="AK27" i="10"/>
  <c r="AG6" i="10"/>
  <c r="AJ6" i="10" s="1"/>
  <c r="AH6" i="10"/>
  <c r="AI6" i="10" s="1"/>
  <c r="AG4" i="10"/>
  <c r="AJ4" i="10" s="1"/>
  <c r="AH4" i="10"/>
  <c r="AI4" i="10" s="1"/>
  <c r="AG23" i="10"/>
  <c r="AJ23" i="10" s="1"/>
  <c r="AH23" i="10"/>
  <c r="AI23" i="10" s="1"/>
  <c r="AG14" i="10"/>
  <c r="AJ14" i="10" s="1"/>
  <c r="AH14" i="10"/>
  <c r="AI14" i="10" s="1"/>
  <c r="AL39" i="10"/>
  <c r="AK39" i="10"/>
  <c r="AL24" i="10"/>
  <c r="AK24" i="10"/>
  <c r="AH22" i="10"/>
  <c r="AI22" i="10" s="1"/>
  <c r="AG22" i="10"/>
  <c r="AJ22" i="10" s="1"/>
  <c r="AG38" i="10"/>
  <c r="AJ38" i="10" s="1"/>
  <c r="AH38" i="10"/>
  <c r="AI38" i="10" s="1"/>
  <c r="AH8" i="10"/>
  <c r="AI8" i="10" s="1"/>
  <c r="AG8" i="10"/>
  <c r="AJ8" i="10" s="1"/>
  <c r="AG26" i="10"/>
  <c r="AJ26" i="10" s="1"/>
  <c r="AH26" i="10"/>
  <c r="AI26" i="10" s="1"/>
  <c r="AL42" i="10"/>
  <c r="AK42" i="10"/>
  <c r="AJ41" i="10"/>
  <c r="AK44" i="10"/>
  <c r="AL44" i="10"/>
  <c r="AG46" i="10"/>
  <c r="AJ46" i="10" s="1"/>
  <c r="AH46" i="10"/>
  <c r="AI46" i="10" s="1"/>
  <c r="AR8" i="9"/>
  <c r="AN8" i="9"/>
  <c r="AR17" i="9"/>
  <c r="AN17" i="9"/>
  <c r="AR20" i="9"/>
  <c r="AN20" i="9"/>
  <c r="AR24" i="9"/>
  <c r="AN24" i="9"/>
  <c r="AP21" i="9"/>
  <c r="AO21" i="9"/>
  <c r="AR30" i="9"/>
  <c r="AN30" i="9"/>
  <c r="AR13" i="9"/>
  <c r="AN13" i="9"/>
  <c r="AR4" i="9"/>
  <c r="AN4" i="9"/>
  <c r="AR12" i="9"/>
  <c r="AN12" i="9"/>
  <c r="AR19" i="9"/>
  <c r="AN19" i="9"/>
  <c r="AR31" i="9"/>
  <c r="AN31" i="9"/>
  <c r="AR23" i="9"/>
  <c r="AN23" i="9"/>
  <c r="AR25" i="9"/>
  <c r="AN25" i="9"/>
  <c r="AR29" i="9"/>
  <c r="AN29" i="9"/>
  <c r="AR5" i="9"/>
  <c r="AN5" i="9"/>
  <c r="AR14" i="9"/>
  <c r="AN14" i="9"/>
  <c r="AR18" i="9"/>
  <c r="AN18" i="9"/>
  <c r="AR6" i="9"/>
  <c r="AN6" i="9"/>
  <c r="AR10" i="9"/>
  <c r="AN10" i="9"/>
  <c r="AN26" i="9"/>
  <c r="AR26" i="9"/>
  <c r="AR7" i="9"/>
  <c r="AN7" i="9"/>
  <c r="AR11" i="9"/>
  <c r="AN11" i="9"/>
  <c r="AO9" i="9"/>
  <c r="AP9" i="9"/>
  <c r="AN15" i="9"/>
  <c r="AR15" i="9"/>
  <c r="AK40" i="10"/>
  <c r="AL40" i="10"/>
  <c r="E43" i="16"/>
  <c r="E60" i="16" s="1"/>
  <c r="E139" i="16"/>
  <c r="E140" i="16" s="1"/>
  <c r="B37" i="1"/>
  <c r="E168" i="16" s="1"/>
  <c r="K47" i="10"/>
  <c r="AK6" i="10" l="1"/>
  <c r="AL6" i="10"/>
  <c r="AK4" i="10"/>
  <c r="AL4" i="10"/>
  <c r="AK23" i="10"/>
  <c r="AL23" i="10"/>
  <c r="AK14" i="10"/>
  <c r="AL14" i="10"/>
  <c r="AL22" i="10"/>
  <c r="AK22" i="10"/>
  <c r="AL38" i="10"/>
  <c r="AK38" i="10"/>
  <c r="AL8" i="10"/>
  <c r="AK8" i="10"/>
  <c r="AK26" i="10"/>
  <c r="AL26" i="10"/>
  <c r="AL41" i="10"/>
  <c r="AK41" i="10"/>
  <c r="AL46" i="10"/>
  <c r="AK46" i="10"/>
  <c r="AP8" i="9"/>
  <c r="AO8" i="9"/>
  <c r="AP17" i="9"/>
  <c r="AO17" i="9"/>
  <c r="AP20" i="9"/>
  <c r="AO20" i="9"/>
  <c r="AP24" i="9"/>
  <c r="AO24" i="9"/>
  <c r="AP30" i="9"/>
  <c r="AO30" i="9"/>
  <c r="AP13" i="9"/>
  <c r="AO13" i="9"/>
  <c r="AO4" i="9"/>
  <c r="AP4" i="9"/>
  <c r="AP12" i="9"/>
  <c r="AO12" i="9"/>
  <c r="AP19" i="9"/>
  <c r="AO19" i="9"/>
  <c r="AP31" i="9"/>
  <c r="AO31" i="9"/>
  <c r="AP23" i="9"/>
  <c r="AO23" i="9"/>
  <c r="AP25" i="9"/>
  <c r="AO25" i="9"/>
  <c r="AP29" i="9"/>
  <c r="AO29" i="9"/>
  <c r="AP5" i="9"/>
  <c r="AO5" i="9"/>
  <c r="AP14" i="9"/>
  <c r="AO14" i="9"/>
  <c r="AP18" i="9"/>
  <c r="AO18" i="9"/>
  <c r="AP6" i="9"/>
  <c r="AO6" i="9"/>
  <c r="AP10" i="9"/>
  <c r="AO10" i="9"/>
  <c r="AO26" i="9"/>
  <c r="AP26" i="9"/>
  <c r="AP7" i="9"/>
  <c r="AO7" i="9"/>
  <c r="AP11" i="9"/>
  <c r="AO11" i="9"/>
  <c r="AO15" i="9"/>
  <c r="AP15" i="9"/>
  <c r="H38" i="1" a="1"/>
  <c r="H37" i="1" a="1"/>
  <c r="I48" i="1" a="1"/>
  <c r="I47" i="1" a="1"/>
  <c r="I46" i="1" a="1"/>
  <c r="I45" i="1" a="1"/>
  <c r="I44" i="1" a="1"/>
  <c r="I43" i="1" a="1"/>
  <c r="I42" i="1" a="1"/>
  <c r="I41" i="1" a="1"/>
  <c r="I40" i="1" a="1"/>
  <c r="I39" i="1" a="1"/>
  <c r="I38" i="1" a="1"/>
  <c r="I37" i="1" a="1"/>
  <c r="H48" i="1" a="1"/>
  <c r="H47" i="1" a="1"/>
  <c r="H46" i="1" a="1"/>
  <c r="H45" i="1" a="1"/>
  <c r="H44" i="1" a="1"/>
  <c r="H43" i="1" a="1"/>
  <c r="H42" i="1" a="1"/>
  <c r="H41" i="1" a="1"/>
  <c r="H40" i="1" a="1"/>
  <c r="H39" i="1" a="1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3" i="14"/>
  <c r="F48" i="1"/>
  <c r="E100" i="16" s="1"/>
  <c r="F47" i="1"/>
  <c r="E99" i="16" s="1"/>
  <c r="F46" i="1"/>
  <c r="E98" i="16" s="1"/>
  <c r="F45" i="1"/>
  <c r="E97" i="16" s="1"/>
  <c r="F44" i="1"/>
  <c r="E96" i="16" s="1"/>
  <c r="F43" i="1"/>
  <c r="E95" i="16" s="1"/>
  <c r="F42" i="1"/>
  <c r="E94" i="16" s="1"/>
  <c r="F41" i="1"/>
  <c r="E93" i="16" s="1"/>
  <c r="F40" i="1"/>
  <c r="E92" i="16" s="1"/>
  <c r="F39" i="1"/>
  <c r="E91" i="16" s="1"/>
  <c r="F38" i="1"/>
  <c r="E90" i="16" s="1"/>
  <c r="E89" i="16"/>
  <c r="E48" i="1"/>
  <c r="E88" i="16" s="1"/>
  <c r="E47" i="1"/>
  <c r="E87" i="16" s="1"/>
  <c r="E46" i="1"/>
  <c r="E86" i="16" s="1"/>
  <c r="E45" i="1"/>
  <c r="E85" i="16" s="1"/>
  <c r="E44" i="1"/>
  <c r="E84" i="16" s="1"/>
  <c r="E43" i="1"/>
  <c r="E83" i="16" s="1"/>
  <c r="E42" i="1"/>
  <c r="E82" i="16" s="1"/>
  <c r="E41" i="1"/>
  <c r="E81" i="16" s="1"/>
  <c r="E40" i="1"/>
  <c r="E80" i="16" s="1"/>
  <c r="E39" i="1"/>
  <c r="E79" i="16" s="1"/>
  <c r="E38" i="1"/>
  <c r="E78" i="16" s="1"/>
  <c r="E37" i="1"/>
  <c r="E77" i="16" s="1"/>
  <c r="D48" i="1"/>
  <c r="D47" i="1"/>
  <c r="E75" i="16" s="1"/>
  <c r="D46" i="1"/>
  <c r="E74" i="16" s="1"/>
  <c r="D45" i="1"/>
  <c r="E73" i="16" s="1"/>
  <c r="D44" i="1"/>
  <c r="E72" i="16" s="1"/>
  <c r="D43" i="1"/>
  <c r="E71" i="16" s="1"/>
  <c r="D42" i="1"/>
  <c r="E70" i="16" s="1"/>
  <c r="D41" i="1"/>
  <c r="E69" i="16" s="1"/>
  <c r="D40" i="1"/>
  <c r="E68" i="16" s="1"/>
  <c r="D39" i="1"/>
  <c r="E67" i="16" s="1"/>
  <c r="D38" i="1"/>
  <c r="E66" i="16" s="1"/>
  <c r="B32" i="1"/>
  <c r="E64" i="16" s="1"/>
  <c r="E44" i="16"/>
  <c r="B13" i="1"/>
  <c r="E56" i="16" s="1"/>
  <c r="B2" i="1"/>
  <c r="E10" i="16" s="1"/>
  <c r="E65" i="16" l="1"/>
  <c r="E61" i="16"/>
  <c r="E76" i="16"/>
  <c r="E62" i="16"/>
  <c r="K3" i="12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N34" i="9"/>
  <c r="N35" i="9"/>
  <c r="N36" i="9"/>
  <c r="N37" i="9"/>
  <c r="N38" i="9"/>
  <c r="N39" i="9"/>
  <c r="N40" i="9"/>
  <c r="N41" i="9"/>
  <c r="N42" i="9"/>
  <c r="N43" i="9"/>
  <c r="N44" i="9"/>
  <c r="B1" i="1"/>
  <c r="E3" i="16" s="1"/>
  <c r="P46" i="13" l="1"/>
  <c r="R46" i="13" s="1"/>
  <c r="Q46" i="13"/>
  <c r="P47" i="13"/>
  <c r="R47" i="13" s="1"/>
  <c r="Q47" i="13"/>
  <c r="P48" i="13"/>
  <c r="R48" i="13" s="1"/>
  <c r="Q48" i="13"/>
  <c r="P49" i="13"/>
  <c r="R49" i="13" s="1"/>
  <c r="Q49" i="13"/>
  <c r="P50" i="13"/>
  <c r="R50" i="13" s="1"/>
  <c r="Q50" i="13"/>
  <c r="P51" i="13"/>
  <c r="R51" i="13" s="1"/>
  <c r="Q51" i="13"/>
  <c r="P52" i="13"/>
  <c r="R52" i="13" s="1"/>
  <c r="Q52" i="13"/>
  <c r="P3" i="13"/>
  <c r="R3" i="13" s="1"/>
  <c r="Q3" i="13"/>
  <c r="E6" i="16"/>
  <c r="E7" i="16" s="1"/>
  <c r="E9" i="16"/>
  <c r="E40" i="16"/>
  <c r="AF37" i="9"/>
  <c r="AF3" i="9"/>
  <c r="AF34" i="9"/>
  <c r="AF36" i="9"/>
  <c r="AF41" i="9"/>
  <c r="I45" i="9"/>
  <c r="W36" i="9" a="1"/>
  <c r="W36" i="9" s="1"/>
  <c r="X36" i="9" a="1"/>
  <c r="X36" i="9" s="1"/>
  <c r="Y36" i="9" a="1"/>
  <c r="Y36" i="9" s="1"/>
  <c r="AB36" i="9" s="1"/>
  <c r="Z36" i="9" a="1"/>
  <c r="Z36" i="9" s="1"/>
  <c r="AA36" i="9"/>
  <c r="AC36" i="9"/>
  <c r="AE36" i="9"/>
  <c r="AG36" i="9"/>
  <c r="AH36" i="9"/>
  <c r="AI36" i="9"/>
  <c r="W37" i="9" a="1"/>
  <c r="W37" i="9" s="1"/>
  <c r="X37" i="9" a="1"/>
  <c r="X37" i="9" s="1"/>
  <c r="Y37" i="9" a="1"/>
  <c r="Y37" i="9" s="1"/>
  <c r="Z37" i="9" a="1"/>
  <c r="Z37" i="9" s="1"/>
  <c r="AA37" i="9"/>
  <c r="AC37" i="9"/>
  <c r="AE37" i="9"/>
  <c r="AG37" i="9"/>
  <c r="AH37" i="9"/>
  <c r="AI37" i="9"/>
  <c r="W38" i="9" a="1"/>
  <c r="W38" i="9" s="1"/>
  <c r="X38" i="9" a="1"/>
  <c r="X38" i="9" s="1"/>
  <c r="Y38" i="9" a="1"/>
  <c r="Y38" i="9" s="1"/>
  <c r="Z38" i="9" a="1"/>
  <c r="Z38" i="9" s="1"/>
  <c r="AA38" i="9"/>
  <c r="AC38" i="9"/>
  <c r="AE38" i="9"/>
  <c r="AF38" i="9"/>
  <c r="AG38" i="9"/>
  <c r="AH38" i="9"/>
  <c r="AI38" i="9"/>
  <c r="W39" i="9" a="1"/>
  <c r="W39" i="9" s="1"/>
  <c r="X39" i="9" a="1"/>
  <c r="X39" i="9" s="1"/>
  <c r="Y39" i="9" a="1"/>
  <c r="Y39" i="9" s="1"/>
  <c r="Z39" i="9" a="1"/>
  <c r="Z39" i="9" s="1"/>
  <c r="AA39" i="9"/>
  <c r="AC39" i="9"/>
  <c r="AE39" i="9"/>
  <c r="AF39" i="9"/>
  <c r="AG39" i="9"/>
  <c r="AH39" i="9"/>
  <c r="AI39" i="9"/>
  <c r="V36" i="9" a="1"/>
  <c r="V36" i="9" s="1"/>
  <c r="V37" i="9" a="1"/>
  <c r="V37" i="9" s="1"/>
  <c r="V38" i="9" a="1"/>
  <c r="V38" i="9" s="1"/>
  <c r="V39" i="9" a="1"/>
  <c r="V39" i="9" s="1"/>
  <c r="S36" i="9"/>
  <c r="AJ36" i="9" s="1"/>
  <c r="S37" i="9"/>
  <c r="AJ37" i="9" s="1"/>
  <c r="S38" i="9"/>
  <c r="AJ38" i="9" s="1"/>
  <c r="S39" i="9"/>
  <c r="AJ39" i="9" s="1"/>
  <c r="J36" i="9"/>
  <c r="L36" i="9" s="1"/>
  <c r="J37" i="9"/>
  <c r="L37" i="9" s="1"/>
  <c r="J38" i="9"/>
  <c r="L38" i="9" s="1"/>
  <c r="J39" i="9"/>
  <c r="L39" i="9" s="1"/>
  <c r="Z74" i="11"/>
  <c r="Z75" i="11"/>
  <c r="Z87" i="11"/>
  <c r="Z88" i="11"/>
  <c r="Z90" i="11"/>
  <c r="J3" i="9"/>
  <c r="B21" i="1"/>
  <c r="E45" i="16" s="1"/>
  <c r="D13" i="6"/>
  <c r="G53" i="13"/>
  <c r="F53" i="13"/>
  <c r="R59" i="12"/>
  <c r="G59" i="12"/>
  <c r="C59" i="12"/>
  <c r="AB58" i="12"/>
  <c r="AA58" i="12"/>
  <c r="Z58" i="12"/>
  <c r="V58" i="12"/>
  <c r="W58" i="12" s="1"/>
  <c r="X58" i="12" s="1"/>
  <c r="O58" i="12"/>
  <c r="K58" i="12"/>
  <c r="Y58" i="12" s="1"/>
  <c r="H58" i="12"/>
  <c r="I58" i="12" s="1"/>
  <c r="AB57" i="12"/>
  <c r="AA57" i="12"/>
  <c r="Z57" i="12"/>
  <c r="V57" i="12"/>
  <c r="O57" i="12"/>
  <c r="K57" i="12"/>
  <c r="Y57" i="12" s="1"/>
  <c r="H57" i="12"/>
  <c r="I57" i="12" s="1"/>
  <c r="AB3" i="12"/>
  <c r="AA3" i="12"/>
  <c r="Z3" i="12"/>
  <c r="V3" i="12"/>
  <c r="O3" i="12"/>
  <c r="Y3" i="12"/>
  <c r="H3" i="12"/>
  <c r="I3" i="12" s="1"/>
  <c r="V96" i="11"/>
  <c r="G96" i="11"/>
  <c r="AC95" i="11"/>
  <c r="AB95" i="11"/>
  <c r="AA95" i="11"/>
  <c r="Z95" i="11"/>
  <c r="Y95" i="11"/>
  <c r="Q95" i="11"/>
  <c r="AD95" i="11" s="1"/>
  <c r="J95" i="11"/>
  <c r="AC94" i="11"/>
  <c r="AB94" i="11"/>
  <c r="AA94" i="11"/>
  <c r="Z94" i="11"/>
  <c r="Y94" i="11"/>
  <c r="Q94" i="11"/>
  <c r="AD94" i="11" s="1"/>
  <c r="J94" i="11"/>
  <c r="R94" i="11" s="1"/>
  <c r="AC93" i="11"/>
  <c r="AB93" i="11"/>
  <c r="AA93" i="11"/>
  <c r="Z93" i="11"/>
  <c r="Y93" i="11"/>
  <c r="Q93" i="11"/>
  <c r="AD93" i="11" s="1"/>
  <c r="J93" i="11"/>
  <c r="R93" i="11" s="1"/>
  <c r="AJ93" i="11" s="1"/>
  <c r="AC92" i="11"/>
  <c r="AB92" i="11"/>
  <c r="AA92" i="11"/>
  <c r="Z92" i="11"/>
  <c r="Y92" i="11"/>
  <c r="Q92" i="11"/>
  <c r="AD92" i="11" s="1"/>
  <c r="J92" i="11"/>
  <c r="AC91" i="11"/>
  <c r="AB91" i="11"/>
  <c r="AA91" i="11"/>
  <c r="Z91" i="11"/>
  <c r="Y91" i="11"/>
  <c r="Q91" i="11"/>
  <c r="AD91" i="11" s="1"/>
  <c r="J91" i="11"/>
  <c r="AC90" i="11"/>
  <c r="AB90" i="11"/>
  <c r="AA90" i="11"/>
  <c r="Y90" i="11"/>
  <c r="Q90" i="11"/>
  <c r="AD90" i="11" s="1"/>
  <c r="J90" i="11"/>
  <c r="AC89" i="11"/>
  <c r="AB89" i="11"/>
  <c r="AA89" i="11"/>
  <c r="Z89" i="11"/>
  <c r="Y89" i="11"/>
  <c r="Q89" i="11"/>
  <c r="AD89" i="11" s="1"/>
  <c r="J89" i="11"/>
  <c r="AC88" i="11"/>
  <c r="AB88" i="11"/>
  <c r="AA88" i="11"/>
  <c r="Y88" i="11"/>
  <c r="Q88" i="11"/>
  <c r="J88" i="11"/>
  <c r="R88" i="11" s="1"/>
  <c r="AJ88" i="11" s="1"/>
  <c r="AC87" i="11"/>
  <c r="AB87" i="11"/>
  <c r="AA87" i="11"/>
  <c r="Y87" i="11"/>
  <c r="Q87" i="11"/>
  <c r="AD87" i="11" s="1"/>
  <c r="J87" i="11"/>
  <c r="AC86" i="11"/>
  <c r="AB86" i="11"/>
  <c r="AA86" i="11"/>
  <c r="Z86" i="11"/>
  <c r="Y86" i="11"/>
  <c r="Q86" i="11"/>
  <c r="AD86" i="11" s="1"/>
  <c r="J86" i="11"/>
  <c r="R86" i="11" s="1"/>
  <c r="AC85" i="11"/>
  <c r="AB85" i="11"/>
  <c r="AA85" i="11"/>
  <c r="Z85" i="11"/>
  <c r="Y85" i="11"/>
  <c r="AE85" i="11" s="1"/>
  <c r="Q85" i="11"/>
  <c r="AD85" i="11" s="1"/>
  <c r="J85" i="11"/>
  <c r="R85" i="11" s="1"/>
  <c r="AJ85" i="11" s="1"/>
  <c r="AC84" i="11"/>
  <c r="AB84" i="11"/>
  <c r="AA84" i="11"/>
  <c r="Z84" i="11"/>
  <c r="Y84" i="11"/>
  <c r="Q84" i="11"/>
  <c r="AD84" i="11" s="1"/>
  <c r="AF84" i="11" s="1"/>
  <c r="J84" i="11"/>
  <c r="AC83" i="11"/>
  <c r="AB83" i="11"/>
  <c r="AA83" i="11"/>
  <c r="Z83" i="11"/>
  <c r="Y83" i="11"/>
  <c r="Q83" i="11"/>
  <c r="AD83" i="11" s="1"/>
  <c r="J83" i="11"/>
  <c r="R83" i="11" s="1"/>
  <c r="AC82" i="11"/>
  <c r="AB82" i="11"/>
  <c r="AA82" i="11"/>
  <c r="Z82" i="11"/>
  <c r="Y82" i="11"/>
  <c r="Q82" i="11"/>
  <c r="AD82" i="11" s="1"/>
  <c r="J82" i="11"/>
  <c r="AC81" i="11"/>
  <c r="AB81" i="11"/>
  <c r="AA81" i="11"/>
  <c r="Z81" i="11"/>
  <c r="Y81" i="11"/>
  <c r="Q81" i="11"/>
  <c r="AD81" i="11" s="1"/>
  <c r="J81" i="11"/>
  <c r="AC80" i="11"/>
  <c r="AB80" i="11"/>
  <c r="AA80" i="11"/>
  <c r="Z80" i="11"/>
  <c r="Y80" i="11"/>
  <c r="Q80" i="11"/>
  <c r="J80" i="11"/>
  <c r="AC79" i="11"/>
  <c r="AB79" i="11"/>
  <c r="AA79" i="11"/>
  <c r="Z79" i="11"/>
  <c r="Y79" i="11"/>
  <c r="Q79" i="11"/>
  <c r="AD79" i="11" s="1"/>
  <c r="J79" i="11"/>
  <c r="R79" i="11" s="1"/>
  <c r="AJ79" i="11" s="1"/>
  <c r="AC78" i="11"/>
  <c r="AB78" i="11"/>
  <c r="AA78" i="11"/>
  <c r="Z78" i="11"/>
  <c r="Y78" i="11"/>
  <c r="Q78" i="11"/>
  <c r="AD78" i="11" s="1"/>
  <c r="J78" i="11"/>
  <c r="R78" i="11" s="1"/>
  <c r="AC77" i="11"/>
  <c r="AB77" i="11"/>
  <c r="AA77" i="11"/>
  <c r="Z77" i="11"/>
  <c r="Y77" i="11"/>
  <c r="Q77" i="11"/>
  <c r="AD77" i="11" s="1"/>
  <c r="J77" i="11"/>
  <c r="R77" i="11" s="1"/>
  <c r="AJ77" i="11" s="1"/>
  <c r="AC76" i="11"/>
  <c r="AB76" i="11"/>
  <c r="AA76" i="11"/>
  <c r="Z76" i="11"/>
  <c r="Y76" i="11"/>
  <c r="Q76" i="11"/>
  <c r="AD76" i="11" s="1"/>
  <c r="J76" i="11"/>
  <c r="AC75" i="11"/>
  <c r="AB75" i="11"/>
  <c r="AA75" i="11"/>
  <c r="Y75" i="11"/>
  <c r="Q75" i="11"/>
  <c r="AD75" i="11" s="1"/>
  <c r="J75" i="11"/>
  <c r="R75" i="11" s="1"/>
  <c r="AC74" i="11"/>
  <c r="AB74" i="11"/>
  <c r="AA74" i="11"/>
  <c r="Y74" i="11"/>
  <c r="Q74" i="11"/>
  <c r="AD74" i="11" s="1"/>
  <c r="J74" i="11"/>
  <c r="AC73" i="11"/>
  <c r="AB73" i="11"/>
  <c r="AA73" i="11"/>
  <c r="Z73" i="11"/>
  <c r="Y73" i="11"/>
  <c r="Q73" i="11"/>
  <c r="AD73" i="11" s="1"/>
  <c r="J73" i="11"/>
  <c r="AC72" i="11"/>
  <c r="AB72" i="11"/>
  <c r="AA72" i="11"/>
  <c r="Z72" i="11"/>
  <c r="Y72" i="11"/>
  <c r="Q72" i="11"/>
  <c r="J72" i="11"/>
  <c r="R72" i="11" s="1"/>
  <c r="AC71" i="11"/>
  <c r="AB71" i="11"/>
  <c r="AA71" i="11"/>
  <c r="Z71" i="11"/>
  <c r="Y71" i="11"/>
  <c r="Q71" i="11"/>
  <c r="AD71" i="11" s="1"/>
  <c r="J71" i="11"/>
  <c r="AC70" i="11"/>
  <c r="AB70" i="11"/>
  <c r="AA70" i="11"/>
  <c r="Z70" i="11"/>
  <c r="Y70" i="11"/>
  <c r="Q70" i="11"/>
  <c r="AD70" i="11" s="1"/>
  <c r="J70" i="11"/>
  <c r="R70" i="11" s="1"/>
  <c r="AC69" i="11"/>
  <c r="AB69" i="11"/>
  <c r="AA69" i="11"/>
  <c r="Z69" i="11"/>
  <c r="Y69" i="11"/>
  <c r="Q69" i="11"/>
  <c r="AD69" i="11" s="1"/>
  <c r="J69" i="11"/>
  <c r="AC68" i="11"/>
  <c r="AB68" i="11"/>
  <c r="AA68" i="11"/>
  <c r="Z68" i="11"/>
  <c r="Y68" i="11"/>
  <c r="Q68" i="11"/>
  <c r="AD68" i="11" s="1"/>
  <c r="J68" i="11"/>
  <c r="R68" i="11" s="1"/>
  <c r="AJ68" i="11" s="1"/>
  <c r="AC67" i="11"/>
  <c r="AB67" i="11"/>
  <c r="AA67" i="11"/>
  <c r="Z67" i="11"/>
  <c r="Y67" i="11"/>
  <c r="Q67" i="11"/>
  <c r="AD67" i="11" s="1"/>
  <c r="J67" i="11"/>
  <c r="AC66" i="11"/>
  <c r="AB66" i="11"/>
  <c r="AA66" i="11"/>
  <c r="Z66" i="11"/>
  <c r="Y66" i="11"/>
  <c r="Q66" i="11"/>
  <c r="AD66" i="11" s="1"/>
  <c r="J66" i="11"/>
  <c r="AC65" i="11"/>
  <c r="AB65" i="11"/>
  <c r="AA65" i="11"/>
  <c r="Z65" i="11"/>
  <c r="Y65" i="11"/>
  <c r="Q65" i="11"/>
  <c r="AD65" i="11" s="1"/>
  <c r="J65" i="11"/>
  <c r="AC4" i="11"/>
  <c r="AB4" i="11"/>
  <c r="AA4" i="11"/>
  <c r="Z4" i="11"/>
  <c r="Y4" i="11"/>
  <c r="J4" i="11"/>
  <c r="S4" i="11" s="1"/>
  <c r="J47" i="10"/>
  <c r="AE3" i="10"/>
  <c r="AD3" i="10"/>
  <c r="AC3" i="10"/>
  <c r="AB3" i="10"/>
  <c r="AA3" i="10" a="1"/>
  <c r="AA3" i="10" s="1"/>
  <c r="Z3" i="10"/>
  <c r="W3" i="10" a="1"/>
  <c r="W3" i="10" s="1"/>
  <c r="V3" i="10"/>
  <c r="U3" i="10" a="1"/>
  <c r="U3" i="10" s="1"/>
  <c r="R3" i="10"/>
  <c r="AI44" i="9"/>
  <c r="AH44" i="9"/>
  <c r="AG44" i="9"/>
  <c r="AE44" i="9"/>
  <c r="AC44" i="9"/>
  <c r="AA44" i="9"/>
  <c r="Z44" i="9" a="1"/>
  <c r="Z44" i="9" s="1"/>
  <c r="Y44" i="9" a="1"/>
  <c r="Y44" i="9" s="1"/>
  <c r="X44" i="9" a="1"/>
  <c r="X44" i="9" s="1"/>
  <c r="W44" i="9" a="1"/>
  <c r="W44" i="9" s="1"/>
  <c r="V44" i="9" a="1"/>
  <c r="V44" i="9" s="1"/>
  <c r="S44" i="9"/>
  <c r="J44" i="9"/>
  <c r="L44" i="9" s="1"/>
  <c r="AI43" i="9"/>
  <c r="AH43" i="9"/>
  <c r="AG43" i="9"/>
  <c r="AE43" i="9"/>
  <c r="AC43" i="9"/>
  <c r="AA43" i="9"/>
  <c r="Z43" i="9" a="1"/>
  <c r="Z43" i="9" s="1"/>
  <c r="Y43" i="9" a="1"/>
  <c r="Y43" i="9" s="1"/>
  <c r="X43" i="9" a="1"/>
  <c r="X43" i="9" s="1"/>
  <c r="W43" i="9" a="1"/>
  <c r="W43" i="9" s="1"/>
  <c r="V43" i="9" a="1"/>
  <c r="V43" i="9" s="1"/>
  <c r="S43" i="9"/>
  <c r="AJ43" i="9" s="1"/>
  <c r="J43" i="9"/>
  <c r="L43" i="9" s="1"/>
  <c r="AI42" i="9"/>
  <c r="AH42" i="9"/>
  <c r="AG42" i="9"/>
  <c r="AE42" i="9"/>
  <c r="AC42" i="9"/>
  <c r="AA42" i="9"/>
  <c r="Z42" i="9" a="1"/>
  <c r="Z42" i="9" s="1"/>
  <c r="Y42" i="9" a="1"/>
  <c r="Y42" i="9" s="1"/>
  <c r="X42" i="9" a="1"/>
  <c r="X42" i="9" s="1"/>
  <c r="W42" i="9" a="1"/>
  <c r="W42" i="9" s="1"/>
  <c r="V42" i="9" a="1"/>
  <c r="V42" i="9" s="1"/>
  <c r="S42" i="9"/>
  <c r="AJ42" i="9" s="1"/>
  <c r="AF42" i="9"/>
  <c r="J42" i="9"/>
  <c r="L42" i="9" s="1"/>
  <c r="AI41" i="9"/>
  <c r="AH41" i="9"/>
  <c r="AG41" i="9"/>
  <c r="AE41" i="9"/>
  <c r="AC41" i="9"/>
  <c r="AA41" i="9"/>
  <c r="Z41" i="9" a="1"/>
  <c r="Z41" i="9" s="1"/>
  <c r="Y41" i="9" a="1"/>
  <c r="Y41" i="9" s="1"/>
  <c r="X41" i="9" a="1"/>
  <c r="X41" i="9" s="1"/>
  <c r="W41" i="9" a="1"/>
  <c r="W41" i="9" s="1"/>
  <c r="V41" i="9" a="1"/>
  <c r="V41" i="9" s="1"/>
  <c r="S41" i="9"/>
  <c r="J41" i="9"/>
  <c r="L41" i="9" s="1"/>
  <c r="AI40" i="9"/>
  <c r="AH40" i="9"/>
  <c r="AG40" i="9"/>
  <c r="AE40" i="9"/>
  <c r="AC40" i="9"/>
  <c r="AA40" i="9"/>
  <c r="Z40" i="9" a="1"/>
  <c r="Z40" i="9" s="1"/>
  <c r="Y40" i="9" a="1"/>
  <c r="Y40" i="9" s="1"/>
  <c r="X40" i="9" a="1"/>
  <c r="X40" i="9" s="1"/>
  <c r="W40" i="9" a="1"/>
  <c r="W40" i="9" s="1"/>
  <c r="V40" i="9" a="1"/>
  <c r="V40" i="9" s="1"/>
  <c r="S40" i="9"/>
  <c r="AJ40" i="9" s="1"/>
  <c r="J40" i="9"/>
  <c r="L40" i="9" s="1"/>
  <c r="AI35" i="9"/>
  <c r="AH35" i="9"/>
  <c r="AG35" i="9"/>
  <c r="AE35" i="9"/>
  <c r="AC35" i="9"/>
  <c r="AA35" i="9"/>
  <c r="Z35" i="9" a="1"/>
  <c r="Z35" i="9" s="1"/>
  <c r="Y35" i="9" a="1"/>
  <c r="Y35" i="9" s="1"/>
  <c r="X35" i="9" a="1"/>
  <c r="X35" i="9" s="1"/>
  <c r="W35" i="9" a="1"/>
  <c r="W35" i="9" s="1"/>
  <c r="V35" i="9" a="1"/>
  <c r="V35" i="9" s="1"/>
  <c r="S35" i="9"/>
  <c r="AJ35" i="9" s="1"/>
  <c r="J35" i="9"/>
  <c r="L35" i="9" s="1"/>
  <c r="AI34" i="9"/>
  <c r="AH34" i="9"/>
  <c r="AG34" i="9"/>
  <c r="AE34" i="9"/>
  <c r="AC34" i="9"/>
  <c r="AA34" i="9"/>
  <c r="Z34" i="9" a="1"/>
  <c r="Z34" i="9" s="1"/>
  <c r="Y34" i="9" a="1"/>
  <c r="Y34" i="9" s="1"/>
  <c r="X34" i="9" a="1"/>
  <c r="X34" i="9" s="1"/>
  <c r="W34" i="9" a="1"/>
  <c r="W34" i="9" s="1"/>
  <c r="V34" i="9" a="1"/>
  <c r="V34" i="9" s="1"/>
  <c r="S34" i="9"/>
  <c r="AJ34" i="9" s="1"/>
  <c r="J34" i="9"/>
  <c r="L34" i="9" s="1"/>
  <c r="AI3" i="9"/>
  <c r="AG3" i="9"/>
  <c r="AE3" i="9"/>
  <c r="AC3" i="9"/>
  <c r="AA3" i="9"/>
  <c r="Z3" i="9" a="1"/>
  <c r="Z3" i="9" s="1"/>
  <c r="Y3" i="9" a="1"/>
  <c r="Y3" i="9" s="1"/>
  <c r="X3" i="9" a="1"/>
  <c r="X3" i="9" s="1"/>
  <c r="W3" i="9" a="1"/>
  <c r="W3" i="9" s="1"/>
  <c r="V3" i="9" a="1"/>
  <c r="V3" i="9" s="1"/>
  <c r="S3" i="9"/>
  <c r="A44" i="9"/>
  <c r="AP39" i="6"/>
  <c r="AO39" i="6"/>
  <c r="AN39" i="6"/>
  <c r="AM39" i="6"/>
  <c r="AL39" i="6"/>
  <c r="AK39" i="6"/>
  <c r="AJ39" i="6"/>
  <c r="AI39" i="6"/>
  <c r="AH39" i="6"/>
  <c r="AG39" i="6"/>
  <c r="AA39" i="6"/>
  <c r="Z39" i="6"/>
  <c r="Y39" i="6"/>
  <c r="X39" i="6"/>
  <c r="W39" i="6"/>
  <c r="V39" i="6"/>
  <c r="U39" i="6"/>
  <c r="T39" i="6"/>
  <c r="S39" i="6"/>
  <c r="R39" i="6"/>
  <c r="Q39" i="6"/>
  <c r="Q41" i="6" s="1"/>
  <c r="Q43" i="6" s="1"/>
  <c r="AP29" i="6" a="1"/>
  <c r="AP29" i="6" s="1"/>
  <c r="AO29" i="6" a="1"/>
  <c r="AO29" i="6" s="1"/>
  <c r="AN29" i="6" a="1"/>
  <c r="AN29" i="6" s="1"/>
  <c r="AM29" i="6" a="1"/>
  <c r="AM29" i="6" s="1"/>
  <c r="AL29" i="6" a="1"/>
  <c r="AL29" i="6" s="1"/>
  <c r="AK29" i="6" a="1"/>
  <c r="AK29" i="6" s="1"/>
  <c r="AJ29" i="6" a="1"/>
  <c r="AJ29" i="6" s="1"/>
  <c r="AI29" i="6" a="1"/>
  <c r="AI29" i="6" s="1"/>
  <c r="AH29" i="6" a="1"/>
  <c r="AH29" i="6" s="1"/>
  <c r="AG29" i="6" a="1"/>
  <c r="AG29" i="6" s="1"/>
  <c r="AF29" i="6" a="1"/>
  <c r="AF29" i="6" s="1"/>
  <c r="D79" i="4" s="1"/>
  <c r="E214" i="16" s="1"/>
  <c r="AP24" i="6"/>
  <c r="AO24" i="6"/>
  <c r="AN24" i="6"/>
  <c r="AM24" i="6"/>
  <c r="AL24" i="6"/>
  <c r="AK24" i="6"/>
  <c r="AJ24" i="6"/>
  <c r="AI24" i="6"/>
  <c r="AH24" i="6"/>
  <c r="AG24" i="6"/>
  <c r="AF24" i="6"/>
  <c r="L24" i="6"/>
  <c r="K24" i="6"/>
  <c r="J24" i="6"/>
  <c r="I24" i="6"/>
  <c r="H24" i="6"/>
  <c r="G24" i="6"/>
  <c r="F24" i="6"/>
  <c r="E24" i="6"/>
  <c r="D24" i="6"/>
  <c r="C24" i="6"/>
  <c r="K7" i="6" a="1"/>
  <c r="K7" i="6" s="1"/>
  <c r="C39" i="6" s="1"/>
  <c r="AC3" i="12" l="1"/>
  <c r="W57" i="12"/>
  <c r="X57" i="12" s="1"/>
  <c r="AC58" i="12"/>
  <c r="S89" i="11"/>
  <c r="S76" i="11"/>
  <c r="AF79" i="11"/>
  <c r="Q3" i="12"/>
  <c r="Q57" i="12"/>
  <c r="R76" i="11"/>
  <c r="AJ76" i="11" s="1"/>
  <c r="AE80" i="11"/>
  <c r="AE73" i="11"/>
  <c r="AE79" i="11"/>
  <c r="AE76" i="11"/>
  <c r="AE72" i="11"/>
  <c r="AF76" i="11"/>
  <c r="AF78" i="11"/>
  <c r="AE92" i="11"/>
  <c r="AF92" i="11"/>
  <c r="AE89" i="11"/>
  <c r="E41" i="16"/>
  <c r="E58" i="16"/>
  <c r="AB38" i="9"/>
  <c r="AD38" i="9" s="1"/>
  <c r="AB37" i="9"/>
  <c r="AD37" i="9" s="1"/>
  <c r="AK37" i="9" s="1"/>
  <c r="AR37" i="9" s="1"/>
  <c r="AB42" i="9"/>
  <c r="AD42" i="9" s="1"/>
  <c r="AB39" i="9"/>
  <c r="AD39" i="9" s="1"/>
  <c r="AD36" i="9"/>
  <c r="AL36" i="9" s="1"/>
  <c r="A39" i="9"/>
  <c r="A38" i="9"/>
  <c r="A37" i="9"/>
  <c r="A36" i="9"/>
  <c r="AC57" i="12"/>
  <c r="Q58" i="12"/>
  <c r="Q59" i="12" s="1"/>
  <c r="AE58" i="12"/>
  <c r="AD58" i="12"/>
  <c r="V59" i="12"/>
  <c r="P57" i="12"/>
  <c r="H59" i="12"/>
  <c r="S82" i="11"/>
  <c r="S95" i="11"/>
  <c r="S75" i="11"/>
  <c r="S73" i="11"/>
  <c r="S84" i="11"/>
  <c r="AG84" i="11" s="1"/>
  <c r="AE86" i="11"/>
  <c r="S90" i="11"/>
  <c r="AF90" i="11"/>
  <c r="AF73" i="11"/>
  <c r="AF83" i="11"/>
  <c r="S65" i="11"/>
  <c r="S67" i="11"/>
  <c r="AE69" i="11"/>
  <c r="S87" i="11"/>
  <c r="S92" i="11"/>
  <c r="R4" i="11"/>
  <c r="AJ4" i="11" s="1"/>
  <c r="S88" i="11"/>
  <c r="R87" i="11"/>
  <c r="AJ87" i="11" s="1"/>
  <c r="S86" i="11"/>
  <c r="U39" i="9"/>
  <c r="U36" i="9"/>
  <c r="T38" i="9"/>
  <c r="AQ38" i="9" s="1"/>
  <c r="U38" i="9"/>
  <c r="G45" i="1"/>
  <c r="E110" i="16" s="1"/>
  <c r="T37" i="9"/>
  <c r="AQ37" i="9" s="1"/>
  <c r="U37" i="9"/>
  <c r="T39" i="9"/>
  <c r="AQ39" i="9" s="1"/>
  <c r="T36" i="9"/>
  <c r="AQ36" i="9" s="1"/>
  <c r="T42" i="9"/>
  <c r="AQ42" i="9" s="1"/>
  <c r="AB44" i="9"/>
  <c r="AD44" i="9" s="1"/>
  <c r="AB43" i="9"/>
  <c r="AD43" i="9" s="1"/>
  <c r="AL43" i="9" s="1"/>
  <c r="AB34" i="9"/>
  <c r="AD34" i="9" s="1"/>
  <c r="AK34" i="9" s="1"/>
  <c r="AR34" i="9" s="1"/>
  <c r="AB35" i="9"/>
  <c r="AD35" i="9" s="1"/>
  <c r="AL35" i="9" s="1"/>
  <c r="AB41" i="9"/>
  <c r="AD41" i="9" s="1"/>
  <c r="AK41" i="9" s="1"/>
  <c r="AR41" i="9" s="1"/>
  <c r="AE4" i="11"/>
  <c r="AH4" i="11" s="1"/>
  <c r="AI4" i="11" s="1"/>
  <c r="AE95" i="11"/>
  <c r="R91" i="11"/>
  <c r="R67" i="11"/>
  <c r="AE71" i="11"/>
  <c r="AE70" i="11"/>
  <c r="AE87" i="11"/>
  <c r="AE88" i="11"/>
  <c r="AH88" i="11" s="1"/>
  <c r="AI88" i="11" s="1"/>
  <c r="R80" i="11"/>
  <c r="AJ80" i="11" s="1"/>
  <c r="AH80" i="11"/>
  <c r="AI80" i="11" s="1"/>
  <c r="AE65" i="11"/>
  <c r="AE68" i="11"/>
  <c r="AH68" i="11" s="1"/>
  <c r="AI68" i="11" s="1"/>
  <c r="AF74" i="11"/>
  <c r="S78" i="11"/>
  <c r="S80" i="11"/>
  <c r="AE77" i="11"/>
  <c r="AH77" i="11" s="1"/>
  <c r="AI77" i="11" s="1"/>
  <c r="AE78" i="11"/>
  <c r="AH78" i="11" s="1"/>
  <c r="AI78" i="11" s="1"/>
  <c r="S81" i="11"/>
  <c r="S83" i="11"/>
  <c r="R84" i="11"/>
  <c r="AJ84" i="11" s="1"/>
  <c r="AF86" i="11"/>
  <c r="AF87" i="11"/>
  <c r="J96" i="11"/>
  <c r="D6" i="4" s="1"/>
  <c r="E171" i="16" s="1"/>
  <c r="S91" i="11"/>
  <c r="R92" i="11"/>
  <c r="AJ92" i="11" s="1"/>
  <c r="AF94" i="11"/>
  <c r="AF95" i="11"/>
  <c r="S66" i="11"/>
  <c r="AF68" i="11"/>
  <c r="S69" i="11"/>
  <c r="S71" i="11"/>
  <c r="AE81" i="11"/>
  <c r="AE84" i="11"/>
  <c r="S94" i="11"/>
  <c r="AG94" i="11" s="1"/>
  <c r="R95" i="11"/>
  <c r="AJ95" i="11" s="1"/>
  <c r="AF70" i="11"/>
  <c r="AF71" i="11"/>
  <c r="AE93" i="11"/>
  <c r="AH93" i="11" s="1"/>
  <c r="AI93" i="11" s="1"/>
  <c r="AE94" i="11"/>
  <c r="AH94" i="11" s="1"/>
  <c r="AI94" i="11" s="1"/>
  <c r="Y96" i="11"/>
  <c r="AF66" i="11"/>
  <c r="AF67" i="11"/>
  <c r="AG67" i="11" s="1"/>
  <c r="S68" i="11"/>
  <c r="R69" i="11"/>
  <c r="AJ69" i="11" s="1"/>
  <c r="S70" i="11"/>
  <c r="R71" i="11"/>
  <c r="AJ71" i="11" s="1"/>
  <c r="S72" i="11"/>
  <c r="AJ72" i="11"/>
  <c r="S74" i="11"/>
  <c r="S77" i="11"/>
  <c r="S79" i="11"/>
  <c r="T41" i="9"/>
  <c r="AQ41" i="9" s="1"/>
  <c r="AB40" i="9"/>
  <c r="AD40" i="9" s="1"/>
  <c r="AL40" i="9" s="1"/>
  <c r="U35" i="9"/>
  <c r="U43" i="9"/>
  <c r="Z47" i="10"/>
  <c r="S3" i="10"/>
  <c r="T3" i="10"/>
  <c r="T35" i="9"/>
  <c r="AQ35" i="9" s="1"/>
  <c r="U40" i="9"/>
  <c r="T43" i="9"/>
  <c r="AQ43" i="9" s="1"/>
  <c r="AQ29" i="6"/>
  <c r="G43" i="1"/>
  <c r="E108" i="16" s="1"/>
  <c r="G41" i="1"/>
  <c r="E106" i="16" s="1"/>
  <c r="E39" i="6"/>
  <c r="I39" i="6"/>
  <c r="H39" i="6"/>
  <c r="G39" i="6"/>
  <c r="D39" i="6"/>
  <c r="L39" i="6"/>
  <c r="F39" i="6"/>
  <c r="K39" i="6"/>
  <c r="B39" i="6"/>
  <c r="J39" i="6"/>
  <c r="AF26" i="6"/>
  <c r="AU14" i="6"/>
  <c r="G39" i="1"/>
  <c r="E104" i="16" s="1"/>
  <c r="G40" i="1"/>
  <c r="E105" i="16" s="1"/>
  <c r="G48" i="1"/>
  <c r="E113" i="16" s="1"/>
  <c r="U34" i="9"/>
  <c r="T34" i="9"/>
  <c r="G47" i="1"/>
  <c r="E112" i="16" s="1"/>
  <c r="G38" i="1"/>
  <c r="E103" i="16" s="1"/>
  <c r="B14" i="1"/>
  <c r="E57" i="16" s="1"/>
  <c r="G37" i="1"/>
  <c r="G46" i="1"/>
  <c r="E111" i="16" s="1"/>
  <c r="G42" i="1"/>
  <c r="E107" i="16" s="1"/>
  <c r="J45" i="9"/>
  <c r="L3" i="9"/>
  <c r="L45" i="9" s="1"/>
  <c r="AF44" i="9"/>
  <c r="T44" i="9"/>
  <c r="G44" i="1"/>
  <c r="E109" i="16" s="1"/>
  <c r="U44" i="9"/>
  <c r="AJ44" i="9"/>
  <c r="AJ3" i="9"/>
  <c r="AB3" i="9"/>
  <c r="AF35" i="9"/>
  <c r="U41" i="9"/>
  <c r="AJ41" i="9"/>
  <c r="A34" i="9"/>
  <c r="A40" i="9"/>
  <c r="AF43" i="9"/>
  <c r="A100" i="15"/>
  <c r="A92" i="15"/>
  <c r="A84" i="15"/>
  <c r="A76" i="15"/>
  <c r="A68" i="15"/>
  <c r="A60" i="15"/>
  <c r="A52" i="15"/>
  <c r="A44" i="15"/>
  <c r="A36" i="15"/>
  <c r="A28" i="15"/>
  <c r="A20" i="15"/>
  <c r="A12" i="15"/>
  <c r="A4" i="15"/>
  <c r="A94" i="14"/>
  <c r="A86" i="14"/>
  <c r="A78" i="14"/>
  <c r="A70" i="14"/>
  <c r="A62" i="14"/>
  <c r="A54" i="14"/>
  <c r="A46" i="14"/>
  <c r="A38" i="14"/>
  <c r="A30" i="14"/>
  <c r="A22" i="14"/>
  <c r="A14" i="14"/>
  <c r="A6" i="14"/>
  <c r="A50" i="13"/>
  <c r="A57" i="12"/>
  <c r="A88" i="11"/>
  <c r="A80" i="11"/>
  <c r="A72" i="11"/>
  <c r="A4" i="11"/>
  <c r="A99" i="15"/>
  <c r="A91" i="15"/>
  <c r="A83" i="15"/>
  <c r="A75" i="15"/>
  <c r="A67" i="15"/>
  <c r="A59" i="15"/>
  <c r="A51" i="15"/>
  <c r="A43" i="15"/>
  <c r="A35" i="15"/>
  <c r="A27" i="15"/>
  <c r="A19" i="15"/>
  <c r="A11" i="15"/>
  <c r="A3" i="15"/>
  <c r="A93" i="14"/>
  <c r="A85" i="14"/>
  <c r="A77" i="14"/>
  <c r="A69" i="14"/>
  <c r="A61" i="14"/>
  <c r="A53" i="14"/>
  <c r="A45" i="14"/>
  <c r="A37" i="14"/>
  <c r="A29" i="14"/>
  <c r="A21" i="14"/>
  <c r="A13" i="14"/>
  <c r="A5" i="14"/>
  <c r="A3" i="13"/>
  <c r="A95" i="11"/>
  <c r="A87" i="11"/>
  <c r="A79" i="11"/>
  <c r="A71" i="11"/>
  <c r="A98" i="15"/>
  <c r="A90" i="15"/>
  <c r="A82" i="15"/>
  <c r="A74" i="15"/>
  <c r="A66" i="15"/>
  <c r="A58" i="15"/>
  <c r="A50" i="15"/>
  <c r="A42" i="15"/>
  <c r="A34" i="15"/>
  <c r="A26" i="15"/>
  <c r="A18" i="15"/>
  <c r="A10" i="15"/>
  <c r="A100" i="14"/>
  <c r="A92" i="14"/>
  <c r="A84" i="14"/>
  <c r="A76" i="14"/>
  <c r="A68" i="14"/>
  <c r="A60" i="14"/>
  <c r="A52" i="14"/>
  <c r="A44" i="14"/>
  <c r="A36" i="14"/>
  <c r="A28" i="14"/>
  <c r="A20" i="14"/>
  <c r="A12" i="14"/>
  <c r="A4" i="14"/>
  <c r="A48" i="13"/>
  <c r="A94" i="11"/>
  <c r="A86" i="11"/>
  <c r="A78" i="11"/>
  <c r="A70" i="11"/>
  <c r="A97" i="15"/>
  <c r="A89" i="15"/>
  <c r="A81" i="15"/>
  <c r="A73" i="15"/>
  <c r="A65" i="15"/>
  <c r="A57" i="15"/>
  <c r="A49" i="15"/>
  <c r="A41" i="15"/>
  <c r="A33" i="15"/>
  <c r="A25" i="15"/>
  <c r="A17" i="15"/>
  <c r="A9" i="15"/>
  <c r="A99" i="14"/>
  <c r="A91" i="14"/>
  <c r="A83" i="14"/>
  <c r="A75" i="14"/>
  <c r="A67" i="14"/>
  <c r="A59" i="14"/>
  <c r="A51" i="14"/>
  <c r="A43" i="14"/>
  <c r="A35" i="14"/>
  <c r="A27" i="14"/>
  <c r="A19" i="14"/>
  <c r="A11" i="14"/>
  <c r="A51" i="13"/>
  <c r="A93" i="11"/>
  <c r="A85" i="11"/>
  <c r="A77" i="11"/>
  <c r="A69" i="11"/>
  <c r="A96" i="15"/>
  <c r="A88" i="15"/>
  <c r="A80" i="15"/>
  <c r="A72" i="15"/>
  <c r="A64" i="15"/>
  <c r="A56" i="15"/>
  <c r="A48" i="15"/>
  <c r="A40" i="15"/>
  <c r="A32" i="15"/>
  <c r="A24" i="15"/>
  <c r="A16" i="15"/>
  <c r="A8" i="15"/>
  <c r="A98" i="14"/>
  <c r="A90" i="14"/>
  <c r="A82" i="14"/>
  <c r="A74" i="14"/>
  <c r="A66" i="14"/>
  <c r="A58" i="14"/>
  <c r="A50" i="14"/>
  <c r="A42" i="14"/>
  <c r="A34" i="14"/>
  <c r="A26" i="14"/>
  <c r="A18" i="14"/>
  <c r="A10" i="14"/>
  <c r="A3" i="14"/>
  <c r="A46" i="13"/>
  <c r="A58" i="12"/>
  <c r="A3" i="12"/>
  <c r="A92" i="11"/>
  <c r="A84" i="11"/>
  <c r="A76" i="11"/>
  <c r="A68" i="11"/>
  <c r="A95" i="15"/>
  <c r="A87" i="15"/>
  <c r="A79" i="15"/>
  <c r="A71" i="15"/>
  <c r="A63" i="15"/>
  <c r="A55" i="15"/>
  <c r="A47" i="15"/>
  <c r="A39" i="15"/>
  <c r="A31" i="15"/>
  <c r="A23" i="15"/>
  <c r="A15" i="15"/>
  <c r="A7" i="15"/>
  <c r="A97" i="14"/>
  <c r="A89" i="14"/>
  <c r="A81" i="14"/>
  <c r="A73" i="14"/>
  <c r="A65" i="14"/>
  <c r="A57" i="14"/>
  <c r="A49" i="14"/>
  <c r="A41" i="14"/>
  <c r="A33" i="14"/>
  <c r="A25" i="14"/>
  <c r="A17" i="14"/>
  <c r="A9" i="14"/>
  <c r="A49" i="13"/>
  <c r="A91" i="11"/>
  <c r="A83" i="11"/>
  <c r="A75" i="11"/>
  <c r="A67" i="11"/>
  <c r="A94" i="15"/>
  <c r="A86" i="15"/>
  <c r="A78" i="15"/>
  <c r="A70" i="15"/>
  <c r="A62" i="15"/>
  <c r="A54" i="15"/>
  <c r="A46" i="15"/>
  <c r="A38" i="15"/>
  <c r="A30" i="15"/>
  <c r="A22" i="15"/>
  <c r="A14" i="15"/>
  <c r="A6" i="15"/>
  <c r="A96" i="14"/>
  <c r="A88" i="14"/>
  <c r="A80" i="14"/>
  <c r="A72" i="14"/>
  <c r="A64" i="14"/>
  <c r="A56" i="14"/>
  <c r="A48" i="14"/>
  <c r="A40" i="14"/>
  <c r="A32" i="14"/>
  <c r="A24" i="14"/>
  <c r="A16" i="14"/>
  <c r="A8" i="14"/>
  <c r="A52" i="13"/>
  <c r="A90" i="11"/>
  <c r="A82" i="11"/>
  <c r="A74" i="11"/>
  <c r="A66" i="11"/>
  <c r="A93" i="15"/>
  <c r="A85" i="15"/>
  <c r="A77" i="15"/>
  <c r="A69" i="15"/>
  <c r="A61" i="15"/>
  <c r="A53" i="15"/>
  <c r="A45" i="15"/>
  <c r="A37" i="15"/>
  <c r="A29" i="15"/>
  <c r="A21" i="15"/>
  <c r="A13" i="15"/>
  <c r="A5" i="15"/>
  <c r="A95" i="14"/>
  <c r="A87" i="14"/>
  <c r="A79" i="14"/>
  <c r="A71" i="14"/>
  <c r="A63" i="14"/>
  <c r="A55" i="14"/>
  <c r="A47" i="14"/>
  <c r="A39" i="14"/>
  <c r="A31" i="14"/>
  <c r="A23" i="14"/>
  <c r="A15" i="14"/>
  <c r="A7" i="14"/>
  <c r="A47" i="13"/>
  <c r="A89" i="11"/>
  <c r="A81" i="11"/>
  <c r="A73" i="11"/>
  <c r="A65" i="11"/>
  <c r="A3" i="10"/>
  <c r="A43" i="9"/>
  <c r="A42" i="9"/>
  <c r="A35" i="9"/>
  <c r="AA45" i="9"/>
  <c r="U42" i="9"/>
  <c r="A3" i="9"/>
  <c r="AF40" i="9"/>
  <c r="T40" i="9"/>
  <c r="A41" i="9"/>
  <c r="AF3" i="10"/>
  <c r="AF82" i="11"/>
  <c r="AJ94" i="11"/>
  <c r="AA47" i="10"/>
  <c r="AF81" i="11"/>
  <c r="AJ70" i="11"/>
  <c r="AF91" i="11"/>
  <c r="AJ75" i="11"/>
  <c r="AF89" i="11"/>
  <c r="AG89" i="11" s="1"/>
  <c r="AJ78" i="11"/>
  <c r="AF65" i="11"/>
  <c r="AJ83" i="11"/>
  <c r="R53" i="13"/>
  <c r="H6" i="4"/>
  <c r="E182" i="16" s="1"/>
  <c r="AF75" i="11"/>
  <c r="AJ86" i="11"/>
  <c r="AF69" i="11"/>
  <c r="AF77" i="11"/>
  <c r="S85" i="11"/>
  <c r="AF85" i="11"/>
  <c r="S93" i="11"/>
  <c r="AF93" i="11"/>
  <c r="P3" i="12"/>
  <c r="P58" i="12"/>
  <c r="J53" i="13"/>
  <c r="AD4" i="11"/>
  <c r="AF4" i="11" s="1"/>
  <c r="AD72" i="11"/>
  <c r="AF72" i="11" s="1"/>
  <c r="AD80" i="11"/>
  <c r="AF80" i="11" s="1"/>
  <c r="AD88" i="11"/>
  <c r="AF88" i="11" s="1"/>
  <c r="AH85" i="11"/>
  <c r="AI85" i="11" s="1"/>
  <c r="I59" i="12"/>
  <c r="R65" i="11"/>
  <c r="R73" i="11"/>
  <c r="R81" i="11"/>
  <c r="R89" i="11"/>
  <c r="W3" i="12"/>
  <c r="R66" i="11"/>
  <c r="AE66" i="11"/>
  <c r="R74" i="11"/>
  <c r="AE74" i="11"/>
  <c r="R82" i="11"/>
  <c r="AE82" i="11"/>
  <c r="R90" i="11"/>
  <c r="AE90" i="11"/>
  <c r="AE67" i="11"/>
  <c r="AE75" i="11"/>
  <c r="AH75" i="11" s="1"/>
  <c r="AI75" i="11" s="1"/>
  <c r="AE83" i="11"/>
  <c r="AH83" i="11" s="1"/>
  <c r="AI83" i="11" s="1"/>
  <c r="AE91" i="11"/>
  <c r="AF58" i="12" l="1"/>
  <c r="AD57" i="12"/>
  <c r="AE57" i="12"/>
  <c r="AF57" i="12" s="1"/>
  <c r="AJ91" i="11"/>
  <c r="AJ67" i="11"/>
  <c r="AH67" i="11"/>
  <c r="AI67" i="11" s="1"/>
  <c r="AG69" i="11"/>
  <c r="AG73" i="11"/>
  <c r="AK36" i="9"/>
  <c r="AR36" i="9" s="1"/>
  <c r="S47" i="10"/>
  <c r="D11" i="4"/>
  <c r="E174" i="16" s="1"/>
  <c r="AG75" i="11"/>
  <c r="AG87" i="11"/>
  <c r="AG79" i="11"/>
  <c r="AG82" i="11"/>
  <c r="AH87" i="11"/>
  <c r="AI87" i="11" s="1"/>
  <c r="AG72" i="11"/>
  <c r="AD3" i="9"/>
  <c r="AK3" i="9" s="1"/>
  <c r="AB45" i="9"/>
  <c r="T47" i="10"/>
  <c r="Q54" i="6" s="1"/>
  <c r="AG65" i="11"/>
  <c r="AG92" i="11"/>
  <c r="AG57" i="12"/>
  <c r="AH57" i="12" s="1"/>
  <c r="AG78" i="11"/>
  <c r="AH76" i="11"/>
  <c r="AI76" i="11" s="1"/>
  <c r="AG66" i="11"/>
  <c r="AH72" i="11"/>
  <c r="AI72" i="11" s="1"/>
  <c r="AH79" i="11"/>
  <c r="AI79" i="11" s="1"/>
  <c r="AH70" i="11"/>
  <c r="AI70" i="11" s="1"/>
  <c r="AG76" i="11"/>
  <c r="AH86" i="11"/>
  <c r="AI86" i="11" s="1"/>
  <c r="E102" i="16"/>
  <c r="B35" i="1"/>
  <c r="B34" i="1"/>
  <c r="E164" i="16" s="1"/>
  <c r="AL37" i="9"/>
  <c r="AL38" i="9"/>
  <c r="AM38" i="9" s="1"/>
  <c r="AK38" i="9"/>
  <c r="AR38" i="9" s="1"/>
  <c r="AK42" i="9"/>
  <c r="AR42" i="9" s="1"/>
  <c r="AL42" i="9"/>
  <c r="AM42" i="9" s="1"/>
  <c r="AK39" i="9"/>
  <c r="AR39" i="9" s="1"/>
  <c r="AL39" i="9"/>
  <c r="AM39" i="9" s="1"/>
  <c r="AN36" i="9"/>
  <c r="AO36" i="9" s="1"/>
  <c r="Q53" i="13"/>
  <c r="AG58" i="12"/>
  <c r="AH58" i="12" s="1"/>
  <c r="AG81" i="11"/>
  <c r="AG90" i="11"/>
  <c r="AG88" i="11"/>
  <c r="AG95" i="11"/>
  <c r="AG80" i="11"/>
  <c r="AG83" i="11"/>
  <c r="AH91" i="11"/>
  <c r="AI91" i="11" s="1"/>
  <c r="AH69" i="11"/>
  <c r="AI69" i="11" s="1"/>
  <c r="AG91" i="11"/>
  <c r="AG70" i="11"/>
  <c r="AG68" i="11"/>
  <c r="AH71" i="11"/>
  <c r="AI71" i="11" s="1"/>
  <c r="AG86" i="11"/>
  <c r="AM36" i="9"/>
  <c r="AN37" i="9"/>
  <c r="AO37" i="9" s="1"/>
  <c r="AL34" i="9"/>
  <c r="AM34" i="9" s="1"/>
  <c r="AM43" i="9"/>
  <c r="AK43" i="9"/>
  <c r="AR43" i="9" s="1"/>
  <c r="AK35" i="9"/>
  <c r="AR35" i="9" s="1"/>
  <c r="AM35" i="9"/>
  <c r="AH84" i="11"/>
  <c r="AI84" i="11" s="1"/>
  <c r="AG93" i="11"/>
  <c r="AG74" i="11"/>
  <c r="AH95" i="11"/>
  <c r="AI95" i="11" s="1"/>
  <c r="AF96" i="11"/>
  <c r="AG77" i="11"/>
  <c r="AG71" i="11"/>
  <c r="AE96" i="11"/>
  <c r="AH92" i="11"/>
  <c r="AI92" i="11" s="1"/>
  <c r="AK44" i="9"/>
  <c r="AR44" i="9" s="1"/>
  <c r="AK40" i="9"/>
  <c r="AR40" i="9" s="1"/>
  <c r="AN41" i="9"/>
  <c r="AP41" i="9" s="1"/>
  <c r="AL41" i="9"/>
  <c r="AM41" i="9" s="1"/>
  <c r="AM40" i="9"/>
  <c r="B36" i="1"/>
  <c r="E166" i="16" s="1"/>
  <c r="AH81" i="11"/>
  <c r="AI81" i="11" s="1"/>
  <c r="AJ81" i="11"/>
  <c r="AH73" i="11"/>
  <c r="AI73" i="11" s="1"/>
  <c r="AJ73" i="11"/>
  <c r="T3" i="9"/>
  <c r="T45" i="9" s="1"/>
  <c r="U3" i="9"/>
  <c r="U45" i="9" s="1"/>
  <c r="AL44" i="9"/>
  <c r="AM44" i="9" s="1"/>
  <c r="AH66" i="11"/>
  <c r="AI66" i="11" s="1"/>
  <c r="AJ66" i="11"/>
  <c r="AH74" i="11"/>
  <c r="AI74" i="11" s="1"/>
  <c r="AJ74" i="11"/>
  <c r="AH65" i="11"/>
  <c r="R96" i="11"/>
  <c r="AJ65" i="11"/>
  <c r="AG85" i="11"/>
  <c r="AQ40" i="9"/>
  <c r="AL3" i="9"/>
  <c r="AQ44" i="9"/>
  <c r="B41" i="6"/>
  <c r="AH90" i="11"/>
  <c r="AI90" i="11" s="1"/>
  <c r="AJ90" i="11"/>
  <c r="G49" i="1"/>
  <c r="W59" i="12"/>
  <c r="X3" i="12"/>
  <c r="P59" i="12"/>
  <c r="B4" i="7" s="1" a="1"/>
  <c r="B4" i="7" s="1"/>
  <c r="S96" i="11"/>
  <c r="AQ34" i="9"/>
  <c r="AN34" i="9"/>
  <c r="AF28" i="6"/>
  <c r="AH82" i="11"/>
  <c r="AI82" i="11" s="1"/>
  <c r="AJ82" i="11"/>
  <c r="AH89" i="11"/>
  <c r="AI89" i="11" s="1"/>
  <c r="AJ89" i="11"/>
  <c r="AG4" i="11"/>
  <c r="D46" i="4"/>
  <c r="E215" i="16" s="1"/>
  <c r="D26" i="4"/>
  <c r="E193" i="16" s="1"/>
  <c r="D71" i="4"/>
  <c r="E207" i="16" s="1"/>
  <c r="D66" i="4"/>
  <c r="E204" i="16" s="1"/>
  <c r="AM37" i="9" l="1"/>
  <c r="AD45" i="9"/>
  <c r="AN38" i="9"/>
  <c r="B6" i="7" a="1"/>
  <c r="B6" i="7" s="1"/>
  <c r="E11" i="6"/>
  <c r="E165" i="16"/>
  <c r="AN39" i="9"/>
  <c r="AO39" i="9" s="1"/>
  <c r="AN42" i="9"/>
  <c r="AP42" i="9" s="1"/>
  <c r="AP36" i="9"/>
  <c r="AP37" i="9"/>
  <c r="AO41" i="9"/>
  <c r="AO38" i="9"/>
  <c r="AP38" i="9"/>
  <c r="AN44" i="9"/>
  <c r="AO44" i="9" s="1"/>
  <c r="AN43" i="9"/>
  <c r="AP43" i="9" s="1"/>
  <c r="AN35" i="9"/>
  <c r="AO35" i="9" s="1"/>
  <c r="AN40" i="9"/>
  <c r="AO40" i="9" s="1"/>
  <c r="D75" i="4"/>
  <c r="E210" i="16" s="1"/>
  <c r="Q56" i="6"/>
  <c r="Q59" i="6" a="1"/>
  <c r="Q59" i="6" s="1"/>
  <c r="X59" i="12"/>
  <c r="AE3" i="12"/>
  <c r="AD3" i="12"/>
  <c r="G50" i="1"/>
  <c r="E167" i="16" s="1"/>
  <c r="AO34" i="9"/>
  <c r="AP34" i="9"/>
  <c r="AG96" i="11"/>
  <c r="AL45" i="9"/>
  <c r="AJ96" i="11"/>
  <c r="B43" i="6"/>
  <c r="B2" i="7" a="1"/>
  <c r="B2" i="7" s="1"/>
  <c r="D7" i="4"/>
  <c r="E172" i="16" s="1"/>
  <c r="AI65" i="11"/>
  <c r="AH96" i="11"/>
  <c r="AM3" i="9"/>
  <c r="AM45" i="9" s="1"/>
  <c r="B5" i="7" a="1"/>
  <c r="B5" i="7" s="1"/>
  <c r="H7" i="4"/>
  <c r="E183" i="16" s="1"/>
  <c r="AN3" i="9"/>
  <c r="AQ3" i="9"/>
  <c r="AQ45" i="9" s="1"/>
  <c r="D72" i="4" s="1"/>
  <c r="E208" i="16" s="1"/>
  <c r="AR3" i="9"/>
  <c r="AR45" i="9" s="1"/>
  <c r="D52" i="4" s="1"/>
  <c r="E219" i="16" s="1"/>
  <c r="AK45" i="9"/>
  <c r="D32" i="4" s="1"/>
  <c r="E197" i="16" s="1"/>
  <c r="D31" i="4" l="1"/>
  <c r="E196" i="16" s="1"/>
  <c r="D51" i="4"/>
  <c r="E218" i="16" s="1"/>
  <c r="D12" i="4"/>
  <c r="E175" i="16" s="1"/>
  <c r="D35" i="4"/>
  <c r="E199" i="16" s="1"/>
  <c r="D55" i="4"/>
  <c r="E221" i="16" s="1"/>
  <c r="AP39" i="9"/>
  <c r="AO42" i="9"/>
  <c r="AP44" i="9"/>
  <c r="AP35" i="9"/>
  <c r="AO43" i="9"/>
  <c r="AP40" i="9"/>
  <c r="E10" i="6"/>
  <c r="AF3" i="12"/>
  <c r="AF59" i="12" s="1"/>
  <c r="AE59" i="12"/>
  <c r="Q58" i="6"/>
  <c r="AI96" i="11"/>
  <c r="AF39" i="6" s="1"/>
  <c r="AD59" i="12"/>
  <c r="AG3" i="12"/>
  <c r="AN45" i="9"/>
  <c r="AN123" i="9" s="1"/>
  <c r="AP3" i="9"/>
  <c r="AO3" i="9"/>
  <c r="D47" i="4"/>
  <c r="E216" i="16" s="1"/>
  <c r="D27" i="4"/>
  <c r="E194" i="16" s="1"/>
  <c r="D67" i="4"/>
  <c r="E205" i="16" s="1"/>
  <c r="B3" i="7" a="1"/>
  <c r="B3" i="7" s="1"/>
  <c r="E12" i="6" l="1"/>
  <c r="AF41" i="6"/>
  <c r="B7" i="7"/>
  <c r="D76" i="4"/>
  <c r="D36" i="4"/>
  <c r="AH3" i="12"/>
  <c r="AH59" i="12" s="1"/>
  <c r="AG59" i="12"/>
  <c r="AO45" i="9"/>
  <c r="Q29" i="6" s="1" a="1"/>
  <c r="Q29" i="6" s="1"/>
  <c r="D39" i="4" s="1"/>
  <c r="E203" i="16" s="1"/>
  <c r="B24" i="6" a="1"/>
  <c r="B24" i="6" s="1"/>
  <c r="B29" i="6" a="1"/>
  <c r="B29" i="6" s="1"/>
  <c r="D59" i="4" s="1"/>
  <c r="E225" i="16" s="1"/>
  <c r="Q24" i="6" a="1"/>
  <c r="Q24" i="6" s="1"/>
  <c r="D56" i="4"/>
  <c r="AP45" i="9"/>
  <c r="AP123" i="9" s="1"/>
  <c r="D77" i="4" l="1"/>
  <c r="E212" i="16" s="1"/>
  <c r="E211" i="16"/>
  <c r="E222" i="16"/>
  <c r="D57" i="4"/>
  <c r="E223" i="16" s="1"/>
  <c r="D37" i="4"/>
  <c r="E201" i="16" s="1"/>
  <c r="E200" i="16"/>
  <c r="C3" i="7"/>
  <c r="E48" i="16" s="1"/>
  <c r="B26" i="6"/>
  <c r="AS14" i="6"/>
  <c r="AT14" i="6"/>
  <c r="Q26" i="6"/>
  <c r="C7" i="7"/>
  <c r="E52" i="16" s="1"/>
  <c r="C6" i="7"/>
  <c r="E51" i="16" s="1"/>
  <c r="C4" i="7"/>
  <c r="E49" i="16" s="1"/>
  <c r="C2" i="7"/>
  <c r="E47" i="16" s="1"/>
  <c r="C5" i="7"/>
  <c r="E50" i="16" s="1"/>
  <c r="AF43" i="6"/>
  <c r="Q28" i="6" l="1"/>
  <c r="B28" i="6"/>
  <c r="E138" i="16" s="1"/>
  <c r="E126" i="16" s="1"/>
  <c r="E137" i="16" s="1"/>
  <c r="E125" i="16" s="1"/>
  <c r="E136" i="16" s="1"/>
  <c r="E124" i="16" s="1"/>
  <c r="E135" i="16" s="1"/>
  <c r="E123" i="16" s="1"/>
  <c r="E134" i="16" s="1"/>
  <c r="E122" i="16" s="1"/>
  <c r="E150" i="16" s="1"/>
  <c r="E133" i="16" s="1"/>
  <c r="E121" i="16" s="1"/>
  <c r="E149" i="16" s="1"/>
  <c r="E132" i="16" s="1"/>
  <c r="E120" i="16" s="1"/>
  <c r="E148" i="16" s="1"/>
  <c r="E131" i="16" s="1"/>
  <c r="E119" i="16" s="1"/>
  <c r="E130" i="16" s="1"/>
  <c r="E118" i="16" s="1"/>
  <c r="E129" i="16" s="1"/>
  <c r="E117" i="16" s="1"/>
  <c r="E128" i="16" s="1"/>
  <c r="E116" i="16" s="1"/>
  <c r="E170" i="16" s="1"/>
  <c r="E127" i="16" s="1"/>
  <c r="E115" i="16" s="1"/>
  <c r="D19" i="4"/>
  <c r="E181" i="16" s="1"/>
  <c r="D16" i="4"/>
  <c r="E178" i="16" s="1"/>
  <c r="D15" i="4"/>
  <c r="E177" i="16" s="1"/>
  <c r="D13" i="4"/>
  <c r="E33" i="16"/>
  <c r="E16" i="3"/>
  <c r="E38" i="16" s="1"/>
  <c r="E15" i="3"/>
  <c r="E37" i="16" s="1"/>
  <c r="E14" i="3"/>
  <c r="E36" i="16" s="1"/>
  <c r="E24" i="16"/>
  <c r="E13" i="3"/>
  <c r="E35" i="16" s="1"/>
  <c r="E23" i="16"/>
  <c r="E12" i="3"/>
  <c r="E34" i="16" s="1"/>
  <c r="E22" i="16"/>
  <c r="E240" i="16"/>
  <c r="E234" i="16"/>
  <c r="E239" i="16"/>
  <c r="E233" i="16"/>
  <c r="E238" i="16"/>
  <c r="E232" i="16"/>
  <c r="X3" i="10" a="1"/>
  <c r="X3" i="10" s="1"/>
  <c r="Y3" i="10" s="1"/>
  <c r="AG3" i="10" l="1"/>
  <c r="AH3" i="10"/>
  <c r="Y47" i="10"/>
  <c r="H11" i="4" s="1"/>
  <c r="E17" i="3"/>
  <c r="E39" i="16" s="1"/>
  <c r="E169" i="16"/>
  <c r="C40" i="6"/>
  <c r="R40" i="6"/>
  <c r="AG25" i="6"/>
  <c r="R55" i="6" a="1"/>
  <c r="R55" i="6" s="1"/>
  <c r="D33" i="4"/>
  <c r="E198" i="16" s="1"/>
  <c r="D8" i="4"/>
  <c r="D73" i="4"/>
  <c r="E209" i="16" s="1"/>
  <c r="H8" i="4"/>
  <c r="D53" i="4"/>
  <c r="E220" i="16" s="1"/>
  <c r="C25" i="6" a="1"/>
  <c r="C25" i="6" s="1"/>
  <c r="R25" i="6"/>
  <c r="D68" i="4"/>
  <c r="D28" i="4"/>
  <c r="AG40" i="6"/>
  <c r="D48" i="4"/>
  <c r="D17" i="4"/>
  <c r="E179" i="16" s="1"/>
  <c r="C41" i="6" l="1"/>
  <c r="F40" i="6"/>
  <c r="F41" i="6" s="1"/>
  <c r="D40" i="6"/>
  <c r="D41" i="6" s="1"/>
  <c r="C49" i="6"/>
  <c r="K40" i="6"/>
  <c r="K41" i="6" s="1"/>
  <c r="G40" i="6"/>
  <c r="G41" i="6" s="1"/>
  <c r="E40" i="6"/>
  <c r="E41" i="6" s="1"/>
  <c r="L40" i="6"/>
  <c r="L41" i="6" s="1"/>
  <c r="I40" i="6"/>
  <c r="I41" i="6" s="1"/>
  <c r="H40" i="6"/>
  <c r="H41" i="6" s="1"/>
  <c r="J40" i="6"/>
  <c r="J41" i="6" s="1"/>
  <c r="E185" i="16"/>
  <c r="H15" i="4"/>
  <c r="E188" i="16" s="1"/>
  <c r="E206" i="16"/>
  <c r="D78" i="4"/>
  <c r="E213" i="16" s="1"/>
  <c r="AU15" i="6"/>
  <c r="AG34" i="6"/>
  <c r="AG26" i="6"/>
  <c r="AH25" i="6"/>
  <c r="E184" i="16"/>
  <c r="AI3" i="10"/>
  <c r="AI47" i="10" s="1"/>
  <c r="E241" i="16" s="1"/>
  <c r="AH47" i="10"/>
  <c r="V55" i="6"/>
  <c r="V56" i="6" s="1"/>
  <c r="W55" i="6"/>
  <c r="W56" i="6" s="1"/>
  <c r="U55" i="6"/>
  <c r="U56" i="6" s="1"/>
  <c r="Y55" i="6"/>
  <c r="Y56" i="6" s="1"/>
  <c r="R64" i="6"/>
  <c r="R56" i="6"/>
  <c r="X55" i="6"/>
  <c r="X56" i="6" s="1"/>
  <c r="AA55" i="6"/>
  <c r="AA56" i="6" s="1"/>
  <c r="Z55" i="6"/>
  <c r="Z56" i="6" s="1"/>
  <c r="S55" i="6"/>
  <c r="S56" i="6" s="1"/>
  <c r="T55" i="6"/>
  <c r="T56" i="6" s="1"/>
  <c r="S40" i="6"/>
  <c r="S41" i="6" s="1"/>
  <c r="AA40" i="6"/>
  <c r="AA41" i="6" s="1"/>
  <c r="Z40" i="6"/>
  <c r="Z41" i="6" s="1"/>
  <c r="R49" i="6"/>
  <c r="U40" i="6"/>
  <c r="U41" i="6" s="1"/>
  <c r="X40" i="6"/>
  <c r="X41" i="6" s="1"/>
  <c r="Y40" i="6"/>
  <c r="Y41" i="6" s="1"/>
  <c r="V40" i="6"/>
  <c r="V41" i="6" s="1"/>
  <c r="T40" i="6"/>
  <c r="T41" i="6" s="1"/>
  <c r="W40" i="6"/>
  <c r="W41" i="6" s="1"/>
  <c r="R41" i="6"/>
  <c r="E217" i="16"/>
  <c r="D58" i="4"/>
  <c r="E224" i="16" s="1"/>
  <c r="AJ3" i="10"/>
  <c r="AG47" i="10"/>
  <c r="H12" i="4" s="1"/>
  <c r="R34" i="6"/>
  <c r="AT15" i="6"/>
  <c r="S25" i="6"/>
  <c r="R26" i="6"/>
  <c r="AG41" i="6"/>
  <c r="AH40" i="6"/>
  <c r="AH41" i="6" s="1"/>
  <c r="AO40" i="6"/>
  <c r="AO41" i="6" s="1"/>
  <c r="AG49" i="6"/>
  <c r="AN40" i="6"/>
  <c r="AN41" i="6" s="1"/>
  <c r="AJ40" i="6"/>
  <c r="AJ41" i="6" s="1"/>
  <c r="AL40" i="6"/>
  <c r="AL41" i="6" s="1"/>
  <c r="AK40" i="6"/>
  <c r="AK41" i="6" s="1"/>
  <c r="AP40" i="6"/>
  <c r="AP41" i="6" s="1"/>
  <c r="AM40" i="6"/>
  <c r="AM41" i="6" s="1"/>
  <c r="AI40" i="6"/>
  <c r="AI41" i="6" s="1"/>
  <c r="E173" i="16"/>
  <c r="D18" i="4"/>
  <c r="E180" i="16" s="1"/>
  <c r="C34" i="6"/>
  <c r="D25" i="6"/>
  <c r="AS15" i="6"/>
  <c r="C26" i="6"/>
  <c r="E195" i="16"/>
  <c r="D38" i="4"/>
  <c r="E202" i="16" s="1"/>
  <c r="R60" i="6" l="1"/>
  <c r="R58" i="6"/>
  <c r="S58" i="6" s="1"/>
  <c r="T58" i="6" s="1"/>
  <c r="U58" i="6" s="1"/>
  <c r="V58" i="6" s="1"/>
  <c r="W58" i="6" s="1"/>
  <c r="X58" i="6" s="1"/>
  <c r="Y58" i="6" s="1"/>
  <c r="Z58" i="6" s="1"/>
  <c r="AA58" i="6" s="1"/>
  <c r="R62" i="6"/>
  <c r="R61" i="6" s="1"/>
  <c r="R63" i="6"/>
  <c r="R33" i="6"/>
  <c r="AT19" i="6" s="1"/>
  <c r="R28" i="6"/>
  <c r="R32" i="6"/>
  <c r="R30" i="6"/>
  <c r="AT17" i="6" s="1"/>
  <c r="R45" i="6"/>
  <c r="R47" i="6"/>
  <c r="R46" i="6" s="1"/>
  <c r="R43" i="6"/>
  <c r="S43" i="6" s="1"/>
  <c r="T43" i="6" s="1"/>
  <c r="U43" i="6" s="1"/>
  <c r="V43" i="6" s="1"/>
  <c r="W43" i="6" s="1"/>
  <c r="X43" i="6" s="1"/>
  <c r="Y43" i="6" s="1"/>
  <c r="Z43" i="6" s="1"/>
  <c r="AA43" i="6" s="1"/>
  <c r="R48" i="6"/>
  <c r="S26" i="6"/>
  <c r="T25" i="6"/>
  <c r="E186" i="16"/>
  <c r="H16" i="4"/>
  <c r="H13" i="4"/>
  <c r="AI25" i="6"/>
  <c r="AH26" i="6"/>
  <c r="AG48" i="6"/>
  <c r="AG43" i="6"/>
  <c r="AH43" i="6" s="1"/>
  <c r="AI43" i="6" s="1"/>
  <c r="AJ43" i="6" s="1"/>
  <c r="AK43" i="6" s="1"/>
  <c r="AL43" i="6" s="1"/>
  <c r="AM43" i="6" s="1"/>
  <c r="AN43" i="6" s="1"/>
  <c r="AO43" i="6" s="1"/>
  <c r="AP43" i="6" s="1"/>
  <c r="AG47" i="6"/>
  <c r="AG46" i="6" s="1"/>
  <c r="AG45" i="6"/>
  <c r="C33" i="6"/>
  <c r="AS19" i="6" s="1"/>
  <c r="C28" i="6"/>
  <c r="C32" i="6"/>
  <c r="C30" i="6"/>
  <c r="AS17" i="6" s="1"/>
  <c r="D26" i="6"/>
  <c r="E25" i="6"/>
  <c r="AL3" i="10"/>
  <c r="AL47" i="10" s="1"/>
  <c r="AJ47" i="10"/>
  <c r="AK3" i="10"/>
  <c r="C55" i="6" a="1"/>
  <c r="C55" i="6" s="1"/>
  <c r="AG28" i="6"/>
  <c r="AG33" i="6"/>
  <c r="AU19" i="6" s="1"/>
  <c r="AG30" i="6"/>
  <c r="AU17" i="6" s="1"/>
  <c r="AG32" i="6"/>
  <c r="C48" i="6"/>
  <c r="C43" i="6"/>
  <c r="D43" i="6" s="1"/>
  <c r="E43" i="6" s="1"/>
  <c r="F43" i="6" s="1"/>
  <c r="G43" i="6" s="1"/>
  <c r="H43" i="6" s="1"/>
  <c r="I43" i="6" s="1"/>
  <c r="J43" i="6" s="1"/>
  <c r="K43" i="6" s="1"/>
  <c r="L43" i="6" s="1"/>
  <c r="C45" i="6"/>
  <c r="C47" i="6"/>
  <c r="C46" i="6" s="1"/>
  <c r="E235" i="16" l="1"/>
  <c r="H17" i="4"/>
  <c r="E190" i="16" s="1"/>
  <c r="E189" i="16"/>
  <c r="R31" i="6"/>
  <c r="AT18" i="6" s="1"/>
  <c r="AT16" i="6"/>
  <c r="E26" i="6"/>
  <c r="F25" i="6"/>
  <c r="U25" i="6"/>
  <c r="T26" i="6"/>
  <c r="D28" i="6"/>
  <c r="S28" i="6"/>
  <c r="AU16" i="6"/>
  <c r="AG31" i="6"/>
  <c r="AU18" i="6" s="1"/>
  <c r="AW16" i="6"/>
  <c r="AW14" i="6"/>
  <c r="AW15" i="6"/>
  <c r="AW18" i="6"/>
  <c r="AS16" i="6"/>
  <c r="AS20" i="6"/>
  <c r="C31" i="6"/>
  <c r="AS18" i="6" s="1"/>
  <c r="AW13" i="6"/>
  <c r="AW17" i="6"/>
  <c r="AH28" i="6"/>
  <c r="I55" i="6"/>
  <c r="I56" i="6" s="1"/>
  <c r="D55" i="6"/>
  <c r="D56" i="6" s="1"/>
  <c r="L55" i="6"/>
  <c r="L56" i="6" s="1"/>
  <c r="C64" i="6"/>
  <c r="C56" i="6"/>
  <c r="K55" i="6"/>
  <c r="K56" i="6" s="1"/>
  <c r="H55" i="6"/>
  <c r="H56" i="6" s="1"/>
  <c r="G55" i="6"/>
  <c r="G56" i="6" s="1"/>
  <c r="F55" i="6"/>
  <c r="F56" i="6" s="1"/>
  <c r="E55" i="6"/>
  <c r="E56" i="6" s="1"/>
  <c r="J55" i="6"/>
  <c r="J56" i="6" s="1"/>
  <c r="AJ25" i="6"/>
  <c r="AI26" i="6"/>
  <c r="AK47" i="10"/>
  <c r="B59" i="6" s="1" a="1"/>
  <c r="B59" i="6" s="1"/>
  <c r="H19" i="4" s="1"/>
  <c r="E192" i="16" s="1"/>
  <c r="B54" i="6"/>
  <c r="E187" i="16"/>
  <c r="H18" i="4"/>
  <c r="E191" i="16" s="1"/>
  <c r="E28" i="6" l="1"/>
  <c r="G25" i="6"/>
  <c r="F26" i="6"/>
  <c r="AI28" i="6"/>
  <c r="AK25" i="6"/>
  <c r="AJ26" i="6"/>
  <c r="B56" i="6"/>
  <c r="C63" i="6"/>
  <c r="T28" i="6"/>
  <c r="U26" i="6"/>
  <c r="V25" i="6"/>
  <c r="E25" i="16"/>
  <c r="E27" i="16"/>
  <c r="AJ28" i="6" l="1"/>
  <c r="B58" i="6"/>
  <c r="C58" i="6" s="1"/>
  <c r="D58" i="6" s="1"/>
  <c r="E58" i="6" s="1"/>
  <c r="F58" i="6" s="1"/>
  <c r="G58" i="6" s="1"/>
  <c r="H58" i="6" s="1"/>
  <c r="I58" i="6" s="1"/>
  <c r="J58" i="6" s="1"/>
  <c r="K58" i="6" s="1"/>
  <c r="L58" i="6" s="1"/>
  <c r="C60" i="6"/>
  <c r="C62" i="6"/>
  <c r="C61" i="6" s="1"/>
  <c r="AL25" i="6"/>
  <c r="AK26" i="6"/>
  <c r="V26" i="6"/>
  <c r="W25" i="6"/>
  <c r="F28" i="6"/>
  <c r="U28" i="6"/>
  <c r="H25" i="6"/>
  <c r="G26" i="6"/>
  <c r="AK28" i="6" l="1"/>
  <c r="W26" i="6"/>
  <c r="X25" i="6"/>
  <c r="AL26" i="6"/>
  <c r="AM25" i="6"/>
  <c r="G28" i="6"/>
  <c r="V28" i="6"/>
  <c r="I25" i="6"/>
  <c r="H26" i="6"/>
  <c r="AL28" i="6" l="1"/>
  <c r="W28" i="6"/>
  <c r="H28" i="6"/>
  <c r="J25" i="6"/>
  <c r="I26" i="6"/>
  <c r="AM26" i="6"/>
  <c r="AN25" i="6"/>
  <c r="Y25" i="6"/>
  <c r="X26" i="6"/>
  <c r="X28" i="6" l="1"/>
  <c r="AM28" i="6"/>
  <c r="I28" i="6"/>
  <c r="AO25" i="6"/>
  <c r="AN26" i="6"/>
  <c r="Y26" i="6"/>
  <c r="Z25" i="6"/>
  <c r="K25" i="6"/>
  <c r="J26" i="6"/>
  <c r="AN28" i="6" l="1"/>
  <c r="Y28" i="6"/>
  <c r="J28" i="6"/>
  <c r="L25" i="6"/>
  <c r="L26" i="6" s="1"/>
  <c r="K26" i="6"/>
  <c r="AA25" i="6"/>
  <c r="AA26" i="6" s="1"/>
  <c r="Z26" i="6"/>
  <c r="AO26" i="6"/>
  <c r="AP25" i="6"/>
  <c r="AP26" i="6" s="1"/>
  <c r="Z28" i="6" l="1"/>
  <c r="AA28" i="6" s="1"/>
  <c r="AO28" i="6"/>
  <c r="K28" i="6"/>
  <c r="L28" i="6" s="1"/>
  <c r="AP28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tc={E371DA82-A8A9-4ACE-A0DA-11F08B7DD798}</author>
    <author>tc={5ED02AF7-95D1-4AB3-BC2C-0DF6084AF5ED}</author>
  </authors>
  <commentList>
    <comment ref="K2" authorId="0" shapeId="0" xr:uid="{E371DA82-A8A9-4ACE-A0DA-11F08B7DD798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Ar-condicionado sempre 0,7
</t>
      </text>
    </comment>
    <comment ref="O2" authorId="1" shapeId="0" xr:uid="{5ED02AF7-95D1-4AB3-BC2C-0DF6084AF5E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Areas administrativas não possuem gap de meses (ferias), já salas de aula e refeitorios, sim 2 meses de gap no periodo de férias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tc={38B345D5-909A-46A6-98E0-8CDC2129C4E6}</author>
    <author>tc={9AE46E93-BFE0-4D63-9C8F-AFD2A1AFE3E5}</author>
  </authors>
  <commentList>
    <comment ref="E2" authorId="0" shapeId="0" xr:uid="{38B345D5-909A-46A6-98E0-8CDC2129C4E6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Identificar na foto
</t>
      </text>
    </comment>
    <comment ref="F2" authorId="1" shapeId="0" xr:uid="{9AE46E93-BFE0-4D63-9C8F-AFD2A1AFE3E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Identificar na foto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Voltxs</author>
  </authors>
  <commentList>
    <comment ref="B4" authorId="0" shapeId="0" xr:uid="{00000000-0006-0000-0500-000001000000}">
      <text>
        <r>
          <rPr>
            <sz val="11"/>
            <color theme="1"/>
            <rFont val="Aptos Narrow"/>
            <family val="2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Lucro Real (se Lucro Presumido = 0%)</t>
        </r>
      </text>
    </comment>
    <comment ref="P22" authorId="0" shapeId="0" xr:uid="{00000000-0006-0000-0500-000002000000}">
      <text>
        <r>
          <rPr>
            <sz val="11"/>
            <color theme="1"/>
            <rFont val="Aptos Narrow"/>
            <family val="2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Lógica de quantidade está errada.</t>
        </r>
      </text>
    </comment>
    <comment ref="B39" authorId="1" shapeId="0" xr:uid="{00000000-0006-0000-0500-000003000000}">
      <text>
        <r>
          <rPr>
            <sz val="11"/>
            <color theme="1"/>
            <rFont val="Aptos Narrow"/>
            <family val="2"/>
            <charset val="1"/>
          </rPr>
          <t>Investimento Ano 0 (Iluminação - Sistema Automatizado):
= -(K7 × (H5 + K8))
  K7 = nº de pontos (1 por pavimento)
  H5 = aquisição + software por ponto
  K8 = mão de obra de instalação por ponto
Anos 1-10: -(K7 × H6 × 12) = mensalidade × 12 meses × pontos.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<sst xmlns="http://schemas.openxmlformats.org/spreadsheetml/2006/main" count="1748" uniqueCount="902">
  <si>
    <t xml:space="preserve">Campo </t>
  </si>
  <si>
    <t>Página</t>
  </si>
  <si>
    <t>Endereço.tex</t>
  </si>
  <si>
    <t>chave</t>
  </si>
  <si>
    <t>valor</t>
  </si>
  <si>
    <t>Inserir Mome do RT</t>
  </si>
  <si>
    <t>Capa</t>
  </si>
  <si>
    <t>TCC_Final_CCEE.tex</t>
  </si>
  <si>
    <t>&lt;&lt;nomeRt&gt;&gt;</t>
  </si>
  <si>
    <t>NOME DA UNIDADE CONSUMIDORA DA PMS</t>
  </si>
  <si>
    <t>&lt;&lt;nomeUc&gt;&gt;</t>
  </si>
  <si>
    <t>Data</t>
  </si>
  <si>
    <t>&lt;&lt;data&gt;&gt;</t>
  </si>
  <si>
    <t>Contra Capa</t>
  </si>
  <si>
    <t>Nome da UC</t>
  </si>
  <si>
    <t>Nome da Unidade</t>
  </si>
  <si>
    <t>capitulo1.tex</t>
  </si>
  <si>
    <t>Código da UC</t>
  </si>
  <si>
    <t>&lt;&lt;codigoUc&gt;&gt;</t>
  </si>
  <si>
    <t>Tipo de Atividade</t>
  </si>
  <si>
    <t>&lt;&lt;tipoAtividade&gt;&gt;</t>
  </si>
  <si>
    <t>Endereço Completo</t>
  </si>
  <si>
    <t>&lt;&lt;endereco&gt;&gt;</t>
  </si>
  <si>
    <t>Responsável / Cargo</t>
  </si>
  <si>
    <t>&lt;&lt;responsavel&gt;&gt;</t>
  </si>
  <si>
    <t>Telefone para Contato</t>
  </si>
  <si>
    <t>&lt;&lt;telefone&gt;&gt;</t>
  </si>
  <si>
    <t>E-mail Institucional</t>
  </si>
  <si>
    <t>&lt;&lt;email&gt;&gt;</t>
  </si>
  <si>
    <t>Adcionar Localidade</t>
  </si>
  <si>
    <t>capitulo3.tex</t>
  </si>
  <si>
    <t>&lt;&lt;localidade&gt;&gt;</t>
  </si>
  <si>
    <t>Iluminação / Medida Proposta</t>
  </si>
  <si>
    <t>capitulo4.tex</t>
  </si>
  <si>
    <t>&lt;&lt;propIluminacao&gt;&gt;</t>
  </si>
  <si>
    <t>Climatização / Medida Proposta</t>
  </si>
  <si>
    <t>&lt;&lt;propClimatizacao&gt;&gt;</t>
  </si>
  <si>
    <t>Motores / Medida Proposta</t>
  </si>
  <si>
    <t>&lt;&lt;propMotores&gt;&gt;</t>
  </si>
  <si>
    <t>Refrigeração / Medida Proposta</t>
  </si>
  <si>
    <t>&lt;&lt;propRefrigeracao&gt;&gt;</t>
  </si>
  <si>
    <t>Fotovoltaico / Medida Proposta</t>
  </si>
  <si>
    <t>&lt;&lt;propFotovoltaico&gt;&gt;</t>
  </si>
  <si>
    <t>Iluminação / Economia (MWh/ano)</t>
  </si>
  <si>
    <t>&lt;&lt;iluEconomia&gt;&gt;</t>
  </si>
  <si>
    <t>Climatização / Economia (MWh/ano)</t>
  </si>
  <si>
    <t>&lt;&lt;cliEconomia&gt;&gt;</t>
  </si>
  <si>
    <t>Motores / Economia (MWh/ano)</t>
  </si>
  <si>
    <t>&lt;&lt;motEconomia&gt;&gt;</t>
  </si>
  <si>
    <t>Refrigeração / Economia (MWh/ano)</t>
  </si>
  <si>
    <t>&lt;&lt;refEconomia&gt;&gt;</t>
  </si>
  <si>
    <t>Fotovoltaico / Economia (MWh/ano)</t>
  </si>
  <si>
    <t>&lt;&lt;fotEconomia&gt;&gt;</t>
  </si>
  <si>
    <t>Total / Economia (MWh/ano)</t>
  </si>
  <si>
    <t>&lt;&lt;totEconomia&gt;&gt;</t>
  </si>
  <si>
    <t>Iluminação / Invest. Total (R$)</t>
  </si>
  <si>
    <t>&lt;&lt;iluInvestimento&gt;&gt;</t>
  </si>
  <si>
    <t>Climatização / Invest. Total (R$)</t>
  </si>
  <si>
    <t>&lt;&lt;cliInvestimento&gt;&gt;</t>
  </si>
  <si>
    <t>Motores / Invest. Total (R$)</t>
  </si>
  <si>
    <t>&lt;&lt;motInvestimento&gt;&gt;</t>
  </si>
  <si>
    <t>Refrigeração / Invest. Total (R$)</t>
  </si>
  <si>
    <t>&lt;&lt;refInvestimento&gt;&gt;</t>
  </si>
  <si>
    <t>Fotovoltaico / Invest. Total (R$)</t>
  </si>
  <si>
    <t>&lt;&lt;fotInvestimento&gt;&gt;</t>
  </si>
  <si>
    <t>Total / Invest. Total (R$)</t>
  </si>
  <si>
    <t>&lt;&lt;totInvestimento&gt;&gt;</t>
  </si>
  <si>
    <t>Iluminação / PB</t>
  </si>
  <si>
    <t>&lt;&lt;iluPayBack&gt;&gt;</t>
  </si>
  <si>
    <t>Climatização / PB</t>
  </si>
  <si>
    <t>&lt;&lt;cliPayBack&gt;&gt;</t>
  </si>
  <si>
    <t>Motores / PB</t>
  </si>
  <si>
    <t>&lt;&lt;motPayBack&gt;&gt;</t>
  </si>
  <si>
    <t>Refrigeração / PB</t>
  </si>
  <si>
    <t>&lt;&lt;refPayBack&gt;&gt;</t>
  </si>
  <si>
    <t>Fotovoltaico / PB</t>
  </si>
  <si>
    <t>&lt;&lt;fotPayBack&gt;&gt;</t>
  </si>
  <si>
    <t>Total / PB</t>
  </si>
  <si>
    <t>&lt;&lt;totPayBack&gt;&gt;</t>
  </si>
  <si>
    <t>capitulo5.tex</t>
  </si>
  <si>
    <t>Gurpo de Tensão</t>
  </si>
  <si>
    <t>capitulo6.tex</t>
  </si>
  <si>
    <t>&lt;&lt;grupoTensao&gt;&gt;</t>
  </si>
  <si>
    <t>Modalidade tarifária</t>
  </si>
  <si>
    <t>&lt;&lt;modalidadeTarifaria&gt;&gt;</t>
  </si>
  <si>
    <t>Demanda contratada</t>
  </si>
  <si>
    <t>&lt;&lt;demandaContratada&gt;&gt;</t>
  </si>
  <si>
    <t>Número da instalação na distribuidora</t>
  </si>
  <si>
    <t>&lt;&lt;codInstalacao&gt;&gt;</t>
  </si>
  <si>
    <t>Código da unidade consumidora</t>
  </si>
  <si>
    <t>Classe de consumo</t>
  </si>
  <si>
    <t>&lt;&lt;classeConsumo&gt;&gt;</t>
  </si>
  <si>
    <t>Consumo/Iluminação kWh</t>
  </si>
  <si>
    <t>&lt;&lt;consumoIluminacao&gt;&gt;</t>
  </si>
  <si>
    <t>Grafico 1</t>
  </si>
  <si>
    <t>Consumo/Climatização kWh</t>
  </si>
  <si>
    <t>&lt;&lt;consumoClimatizacao&gt;&gt;</t>
  </si>
  <si>
    <t>Consumo/Sistema Motrizes kWh</t>
  </si>
  <si>
    <t>&lt;&lt;consumoMotores&gt;&gt;</t>
  </si>
  <si>
    <t>Consumo/Refrigeração kWh</t>
  </si>
  <si>
    <t>&lt;&lt;consumoRefrigeracao&gt;&gt;</t>
  </si>
  <si>
    <t>Consumo/Outros kWh</t>
  </si>
  <si>
    <t>&lt;&lt;consumoOutros&gt;&gt;</t>
  </si>
  <si>
    <t>Consumo/Total kWh</t>
  </si>
  <si>
    <t>&lt;&lt;consumoTotal&gt;&gt;</t>
  </si>
  <si>
    <t>Grafico Perfil de Consumo</t>
  </si>
  <si>
    <t>Grafico 1.png</t>
  </si>
  <si>
    <t>Parâmetro</t>
  </si>
  <si>
    <t>capitulo7.tex</t>
  </si>
  <si>
    <t>&lt;&lt;parametro&gt;&gt;</t>
  </si>
  <si>
    <t>Dado do Parâmetro</t>
  </si>
  <si>
    <t>&lt;&lt;dadoParametro&gt;&gt;</t>
  </si>
  <si>
    <t>Consumo médio mensal</t>
  </si>
  <si>
    <t>&lt;&lt;consMedio&gt;&gt;</t>
  </si>
  <si>
    <t>Consumo específico estimado</t>
  </si>
  <si>
    <t>&lt;&lt;dadoConsEspecifico&gt;&gt;</t>
  </si>
  <si>
    <t>Grupo A ou B</t>
  </si>
  <si>
    <t>capitulo8.tex</t>
  </si>
  <si>
    <t xml:space="preserve">Demanda contratada vigente </t>
  </si>
  <si>
    <t>Primeiro mês analisado</t>
  </si>
  <si>
    <t>&lt;&lt;mesInicial&gt;&gt;</t>
  </si>
  <si>
    <t>Ultimo  mês analisado</t>
  </si>
  <si>
    <t>&lt;&lt;mesFinal&gt;&gt;</t>
  </si>
  <si>
    <t>Distribuidora</t>
  </si>
  <si>
    <t>&lt;&lt;distribuidora&gt;&gt;</t>
  </si>
  <si>
    <t xml:space="preserve">Preço da energia no ultimo mês </t>
  </si>
  <si>
    <t>&lt;&lt;precoRecente&gt;&gt;</t>
  </si>
  <si>
    <t xml:space="preserve">Mês / Ano </t>
  </si>
  <si>
    <t>&lt;&lt;mesUm&gt;&gt;</t>
  </si>
  <si>
    <t>&lt;&lt;mesDois&gt;&gt;</t>
  </si>
  <si>
    <t>&lt;&lt;mesTres&gt;&gt;</t>
  </si>
  <si>
    <t>&lt;&lt;mesQuatro&gt;&gt;</t>
  </si>
  <si>
    <t>&lt;&lt;mesCinco&gt;&gt;</t>
  </si>
  <si>
    <t>&lt;&lt;mesSeis&gt;&gt;</t>
  </si>
  <si>
    <t>&lt;&lt;mesSete&gt;&gt;</t>
  </si>
  <si>
    <t>&lt;&lt;mesOito&gt;&gt;</t>
  </si>
  <si>
    <t>&lt;&lt;mesNove&gt;&gt;</t>
  </si>
  <si>
    <t>&lt;&lt;mesDez&gt;&gt;</t>
  </si>
  <si>
    <t>&lt;&lt;mesOnze&gt;&gt;</t>
  </si>
  <si>
    <t>&lt;&lt;mesDoze&gt;&gt;</t>
  </si>
  <si>
    <t>Consumo Ponta 1</t>
  </si>
  <si>
    <t>&lt;&lt;ConsumoPontaUm&gt;&gt;</t>
  </si>
  <si>
    <t>Grafico 3</t>
  </si>
  <si>
    <t>Consumo Ponta 2</t>
  </si>
  <si>
    <t>&lt;&lt;ConsumoPontaDois&gt;&gt;</t>
  </si>
  <si>
    <t>Consumo Ponta 3</t>
  </si>
  <si>
    <t>&lt;&lt;ConsumoPontaTres&gt;&gt;</t>
  </si>
  <si>
    <t>Consumo Ponta 4</t>
  </si>
  <si>
    <t>&lt;&lt;ConsumoPontaQuatro&gt;&gt;</t>
  </si>
  <si>
    <t>Consumo Ponta 5</t>
  </si>
  <si>
    <t>&lt;&lt;ConsumoPontaCinco&gt;&gt;</t>
  </si>
  <si>
    <t>Consumo Ponta 6</t>
  </si>
  <si>
    <t>&lt;&lt;ConsumoPontaSeis&gt;&gt;</t>
  </si>
  <si>
    <t>Consumo Ponta 7</t>
  </si>
  <si>
    <t>&lt;&lt;ConsumoPontaSete&gt;&gt;</t>
  </si>
  <si>
    <t>Consumo Ponta 8</t>
  </si>
  <si>
    <t>&lt;&lt;ConsumoPontaOito&gt;&gt;</t>
  </si>
  <si>
    <t>Consumo Ponta 9</t>
  </si>
  <si>
    <t>&lt;&lt;ConsumoPontaNove&gt;&gt;</t>
  </si>
  <si>
    <t>Consumo Ponta 10</t>
  </si>
  <si>
    <t>&lt;&lt;ConsumoPontaDez&gt;&gt;</t>
  </si>
  <si>
    <t>Consumo Ponta 11</t>
  </si>
  <si>
    <t>&lt;&lt;ConsumoPontaOnze&gt;&gt;</t>
  </si>
  <si>
    <t>Consumo Ponta 12</t>
  </si>
  <si>
    <t>&lt;&lt;ConsumoPontaDoze&gt;&gt;</t>
  </si>
  <si>
    <t>Consumo Fora Ponta 1</t>
  </si>
  <si>
    <t>&lt;&lt;ConsumoForaPontaUm&gt;&gt;</t>
  </si>
  <si>
    <t>Consumo Fora Ponta 2</t>
  </si>
  <si>
    <t>&lt;&lt;ConsumoForaPontaDois&gt;&gt;</t>
  </si>
  <si>
    <t>Consumo Fora Ponta 3</t>
  </si>
  <si>
    <t>&lt;&lt;ConsumoForaPontaTres&gt;&gt;</t>
  </si>
  <si>
    <t>Consumo Fora Ponta 4</t>
  </si>
  <si>
    <t>&lt;&lt;ConsumoForaPontaQuatro&gt;&gt;</t>
  </si>
  <si>
    <t>Consumo Fora Ponta 5</t>
  </si>
  <si>
    <t>&lt;&lt;ConsumoForaPontaCinco&gt;&gt;</t>
  </si>
  <si>
    <t>Consumo Fora Ponta 6</t>
  </si>
  <si>
    <t>&lt;&lt;ConsumoForaPontaSeis&gt;&gt;</t>
  </si>
  <si>
    <t>Consumo Fora Ponta 7</t>
  </si>
  <si>
    <t>&lt;&lt;ConsumoForaPontaSete&gt;&gt;</t>
  </si>
  <si>
    <t>Consumo Fora Ponta 8</t>
  </si>
  <si>
    <t>&lt;&lt;ConsumoForaPontaOito&gt;&gt;</t>
  </si>
  <si>
    <t>Consumo Fora Ponta 9</t>
  </si>
  <si>
    <t>&lt;&lt;ConsumoForaPontaNove&gt;&gt;</t>
  </si>
  <si>
    <t>Consumo Fora Ponta 10</t>
  </si>
  <si>
    <t>&lt;&lt;ConsumoForaPontaDez&gt;&gt;</t>
  </si>
  <si>
    <t>Consumo Fora Ponta 11</t>
  </si>
  <si>
    <t>&lt;&lt;ConsumoForaPontaOnze&gt;&gt;</t>
  </si>
  <si>
    <t>Consumo Fora Ponta 12</t>
  </si>
  <si>
    <t>&lt;&lt;ConsumoForaPontaDoze&gt;&gt;</t>
  </si>
  <si>
    <t>capitulo10.tex</t>
  </si>
  <si>
    <t>Grafico 3.png</t>
  </si>
  <si>
    <t xml:space="preserve">Consumo Total 1 </t>
  </si>
  <si>
    <t>&lt;&lt;ConsumoTotalUm&gt;&gt;</t>
  </si>
  <si>
    <t>Grafico 2</t>
  </si>
  <si>
    <t>Consumo Total 2</t>
  </si>
  <si>
    <t>&lt;&lt;ConsumoTotalDois&gt;&gt;</t>
  </si>
  <si>
    <t>Consumo Total 3</t>
  </si>
  <si>
    <t>&lt;&lt;ConsumoTotalTres&gt;&gt;</t>
  </si>
  <si>
    <t>Consumo Total 4</t>
  </si>
  <si>
    <t>&lt;&lt;ConsumoTotalQuatro&gt;&gt;</t>
  </si>
  <si>
    <t>Consumo Total 5</t>
  </si>
  <si>
    <t>&lt;&lt;ConsumoTotalCinco&gt;&gt;</t>
  </si>
  <si>
    <t>Consumo Total 6</t>
  </si>
  <si>
    <t>&lt;&lt;ConsumoTotalSeis&gt;&gt;</t>
  </si>
  <si>
    <t>Consumo Total 7</t>
  </si>
  <si>
    <t>&lt;&lt;ConsumoTotalSete&gt;&gt;</t>
  </si>
  <si>
    <t>Consumo Total 8</t>
  </si>
  <si>
    <t>&lt;&lt;ConsumoTotalOito&gt;&gt;</t>
  </si>
  <si>
    <t>Consumo Total 9</t>
  </si>
  <si>
    <t>&lt;&lt;ConsumoTotalNove&gt;&gt;</t>
  </si>
  <si>
    <t>Consumo Total 10</t>
  </si>
  <si>
    <t>&lt;&lt;ConsumoTotalDez&gt;&gt;</t>
  </si>
  <si>
    <t>Consumo Total 11</t>
  </si>
  <si>
    <t>&lt;&lt;ConsumoTotalOnze&gt;&gt;</t>
  </si>
  <si>
    <t>Consumo Total 12</t>
  </si>
  <si>
    <t>&lt;&lt;ConsumoTotalDoze&gt;&gt;</t>
  </si>
  <si>
    <t>Grafico 2.png</t>
  </si>
  <si>
    <t>Demanda Ponta 1</t>
  </si>
  <si>
    <t>&lt;&lt;DemandaPontaUm&gt;&gt;</t>
  </si>
  <si>
    <t>Grafico 4</t>
  </si>
  <si>
    <t>Demanda Ponta 2</t>
  </si>
  <si>
    <t>&lt;&lt;DemandaPontaDois&gt;&gt;</t>
  </si>
  <si>
    <t>Demanda Ponta 3</t>
  </si>
  <si>
    <t>&lt;&lt;DemandaPontaTres&gt;&gt;</t>
  </si>
  <si>
    <t>Demanda Ponta 4</t>
  </si>
  <si>
    <t>&lt;&lt;DemandaPontaQuatro&gt;&gt;</t>
  </si>
  <si>
    <t>Demanda Ponta 5</t>
  </si>
  <si>
    <t>&lt;&lt;DemandaPontaCinco&gt;&gt;</t>
  </si>
  <si>
    <t>Demanda Ponta 6</t>
  </si>
  <si>
    <t>&lt;&lt;DemandaPontaSeis&gt;&gt;</t>
  </si>
  <si>
    <t>Demanda Ponta 7</t>
  </si>
  <si>
    <t>&lt;&lt;DemandaPontaSete&gt;&gt;</t>
  </si>
  <si>
    <t>Demanda Ponta 8</t>
  </si>
  <si>
    <t>&lt;&lt;DemandaPontaOito&gt;&gt;</t>
  </si>
  <si>
    <t>Demanda Ponta 9</t>
  </si>
  <si>
    <t>&lt;&lt;DemandaPontaNove&gt;&gt;</t>
  </si>
  <si>
    <t>Demanda Ponta 10</t>
  </si>
  <si>
    <t>&lt;&lt;DemandaPontaDez&gt;&gt;</t>
  </si>
  <si>
    <t>Demanda Ponta 11</t>
  </si>
  <si>
    <t>&lt;&lt;DemandaPontaOnze&gt;&gt;</t>
  </si>
  <si>
    <t>Demanda Ponta 12</t>
  </si>
  <si>
    <t>&lt;&lt;DemandaPontaDoze&gt;&gt;</t>
  </si>
  <si>
    <t>Demanda Fora Ponta 1</t>
  </si>
  <si>
    <t>&lt;&lt;DemandaForaPontaUm&gt;&gt;</t>
  </si>
  <si>
    <t>Demanda Fora Ponta 2</t>
  </si>
  <si>
    <t>&lt;&lt;DemandaForaPontaDois&gt;&gt;</t>
  </si>
  <si>
    <t>Demanda Fora Ponta 3</t>
  </si>
  <si>
    <t>&lt;&lt;DemandaForaPontaTres&gt;&gt;</t>
  </si>
  <si>
    <t>Demanda Fora Ponta 4</t>
  </si>
  <si>
    <t>&lt;&lt;DemandaForaPontaQuatro&gt;&gt;</t>
  </si>
  <si>
    <t>Demanda Fora Ponta 5</t>
  </si>
  <si>
    <t>&lt;&lt;DemandaForaPontaCinco&gt;&gt;</t>
  </si>
  <si>
    <t>Demanda Fora Ponta 6</t>
  </si>
  <si>
    <t>&lt;&lt;DemandaForaPontaSeis&gt;&gt;</t>
  </si>
  <si>
    <t>Demanda Fora Ponta 7</t>
  </si>
  <si>
    <t>&lt;&lt;DemandaForaPontaSete&gt;&gt;</t>
  </si>
  <si>
    <t>Demanda Fora Ponta 8</t>
  </si>
  <si>
    <t>&lt;&lt;DemandaForaPontaOito&gt;&gt;</t>
  </si>
  <si>
    <t>Demanda Fora Ponta 9</t>
  </si>
  <si>
    <t>&lt;&lt;DemandaForaPontaNove&gt;&gt;</t>
  </si>
  <si>
    <t>Demanda Fora Ponta 10</t>
  </si>
  <si>
    <t>&lt;&lt;DemandaForaPontaDez&gt;&gt;</t>
  </si>
  <si>
    <t>Demanda Fora Ponta 11</t>
  </si>
  <si>
    <t>&lt;&lt;DemandaForaPontaOnze&gt;&gt;</t>
  </si>
  <si>
    <t>Demanda Fora Ponta 12</t>
  </si>
  <si>
    <t>&lt;&lt;DemandaForaPontaDoze&gt;&gt;</t>
  </si>
  <si>
    <t>Demanda Contratada</t>
  </si>
  <si>
    <t>Demanda Contratada c/tolerância</t>
  </si>
  <si>
    <t>&lt;&lt;demandaContratadaTolerancia&gt;&gt;</t>
  </si>
  <si>
    <t>Demanda Contratada c/tolerância Ponta</t>
  </si>
  <si>
    <t>&lt;&lt;demandaContratadaToleranciaNP&gt;&gt;</t>
  </si>
  <si>
    <t>Demanda Contratada c/tolerância Fora da Ponta</t>
  </si>
  <si>
    <t>&lt;&lt;demandaContratadaToleranciaFP&gt;&gt;</t>
  </si>
  <si>
    <t>Grafico 4.png</t>
  </si>
  <si>
    <t>Tipo de edificação</t>
  </si>
  <si>
    <t>capitulo9.tex</t>
  </si>
  <si>
    <t>&lt;&lt;tipoEdificacao&gt;&gt;</t>
  </si>
  <si>
    <t>Consumo Especifico Tipico</t>
  </si>
  <si>
    <t>&lt;&lt;consumoEspecificoTipico&gt;&gt;</t>
  </si>
  <si>
    <t>Fator de carga Ponta (Média Ano)</t>
  </si>
  <si>
    <t>&lt;&lt;fatorCargaPonta&gt;&gt;</t>
  </si>
  <si>
    <t>Fator de carga Fora Ponta  (Média Ano)</t>
  </si>
  <si>
    <t>&lt;&lt;fatorCargaForaPonta&gt;&gt;</t>
  </si>
  <si>
    <t>Fator de Potencia  (Média Ano)</t>
  </si>
  <si>
    <t>&lt;&lt;fatorPotencia&gt;&gt;</t>
  </si>
  <si>
    <t>Custo Médio Unitário (R$/kWh)  (Média Ano)</t>
  </si>
  <si>
    <t>&lt;&lt;custoMedioUnitario&gt;&gt;</t>
  </si>
  <si>
    <t>&lt;&lt;consumoPessoa&gt;&gt;</t>
  </si>
  <si>
    <t>Despesa com Energia 1</t>
  </si>
  <si>
    <t>&lt;&lt;despesaEnergiaUm&gt;&gt;</t>
  </si>
  <si>
    <t>Grafico 5</t>
  </si>
  <si>
    <t>Despesa com Energia 2</t>
  </si>
  <si>
    <t>&lt;&lt;despesaEnergiaDois&gt;&gt;</t>
  </si>
  <si>
    <t>Despesa com Energia 3</t>
  </si>
  <si>
    <t>&lt;&lt;despesaEnergiaTres&gt;&gt;</t>
  </si>
  <si>
    <t>Despesa com Energia 4</t>
  </si>
  <si>
    <t>&lt;&lt;despesaEnergiaQuatro&gt;&gt;</t>
  </si>
  <si>
    <t>Despesa com Energia 5</t>
  </si>
  <si>
    <t>&lt;&lt;despesaEnergiaCinco&gt;&gt;</t>
  </si>
  <si>
    <t>Despesa com Energia 6</t>
  </si>
  <si>
    <t>&lt;&lt;despesaEnergiaSeis&gt;&gt;</t>
  </si>
  <si>
    <t>Despesa com Energia 7</t>
  </si>
  <si>
    <t>&lt;&lt;despesaEnergiaSete&gt;&gt;</t>
  </si>
  <si>
    <t>Despesa com Energia 8</t>
  </si>
  <si>
    <t>&lt;&lt;despesaEnergiaOito&gt;&gt;</t>
  </si>
  <si>
    <t>Despesa com Energia 9</t>
  </si>
  <si>
    <t>&lt;&lt;despesaEnergiaNove&gt;&gt;</t>
  </si>
  <si>
    <t>Despesa com Energia 10</t>
  </si>
  <si>
    <t>&lt;&lt;despesaEnergiaDez&gt;&gt;</t>
  </si>
  <si>
    <t>Despesa com Energia 11</t>
  </si>
  <si>
    <t>&lt;&lt;despesaEnergiaOnze&gt;&gt;</t>
  </si>
  <si>
    <t>Despesa com Energia 12</t>
  </si>
  <si>
    <t>&lt;&lt;despesaEnergiaDoze&gt;&gt;</t>
  </si>
  <si>
    <t>Grafico 5.png</t>
  </si>
  <si>
    <t>Maior consumo registrado</t>
  </si>
  <si>
    <t>&lt;&lt;maiorConsumo&gt;&gt;</t>
  </si>
  <si>
    <t>Mês e ano do maior consumo</t>
  </si>
  <si>
    <t>&lt;&lt;mesMaiorConsumo&gt;&gt;</t>
  </si>
  <si>
    <t>Mêses de menor consumo</t>
  </si>
  <si>
    <t>&lt;&lt;mesMenorConsumo&gt;&gt;</t>
  </si>
  <si>
    <t>Consumo total no período</t>
  </si>
  <si>
    <t>&lt;&lt;consumoTotalPeriodo&gt;&gt;</t>
  </si>
  <si>
    <t>Custo anual de energia elétrica</t>
  </si>
  <si>
    <t>&lt;&lt;custoAnualEnergia&gt;&gt;</t>
  </si>
  <si>
    <t>Custo unitário</t>
  </si>
  <si>
    <t>&lt;&lt;custoUnitario&gt;&gt;</t>
  </si>
  <si>
    <t>Fator de carga médio estimado</t>
  </si>
  <si>
    <t>&lt;&lt;fatorCargaMedio&gt;&gt;</t>
  </si>
  <si>
    <t>Potencial Total Sistema Atual Iluminação</t>
  </si>
  <si>
    <t>capitulo11.tex</t>
  </si>
  <si>
    <t>&lt;&lt;potenciaTotalAtualIlum&gt;&gt;</t>
  </si>
  <si>
    <t>Consumo de Energia Anual Sistema Atual Iluminação</t>
  </si>
  <si>
    <t>&lt;&lt;consumoEnergiaAtualIlum&gt;&gt;</t>
  </si>
  <si>
    <t>Despesa Mensal com Energia Elétrica Sistema Atual Iluminação</t>
  </si>
  <si>
    <t>&lt;&lt;despesaMensalAtualIlum&gt;&gt;</t>
  </si>
  <si>
    <t>Potencial Total Sistema Proposto Iluminação</t>
  </si>
  <si>
    <t>&lt;&lt;potenciaTotalPropIlum&gt;&gt;</t>
  </si>
  <si>
    <t>Consumo de Energia Anual Sistema Proposto Iluminação</t>
  </si>
  <si>
    <t>&lt;&lt;consumoEnergiaIPropIlum&gt;&gt;</t>
  </si>
  <si>
    <t>Despesa Mensal com Energia Elétrica Sistema Proposto Iluminação</t>
  </si>
  <si>
    <t>&lt;&lt;despesaMensalPropIlum&gt;&gt;</t>
  </si>
  <si>
    <t>Redução de Demanda Iluminação</t>
  </si>
  <si>
    <t>&lt;&lt;reduDemandaIlum&gt;&gt;</t>
  </si>
  <si>
    <t>Redução do Consumo de Energia Anual Iluminação</t>
  </si>
  <si>
    <t>&lt;&lt;reduConsuAnualIlum&gt;&gt;</t>
  </si>
  <si>
    <t>Redução Percentual do Consumo de Energia Iluminação</t>
  </si>
  <si>
    <t>&lt;&lt;reduPercentConsuIlum&gt;&gt;</t>
  </si>
  <si>
    <t>Economia Mensal na Fatura de Energia Iluminação</t>
  </si>
  <si>
    <t>&lt;&lt;economiaMensalIlum&gt;&gt;</t>
  </si>
  <si>
    <t>Investimento Necessário Estimado Iluminação</t>
  </si>
  <si>
    <t>&lt;&lt;investEstimadoIlum&gt;&gt;</t>
  </si>
  <si>
    <t>Potencial Total Sistema Atual Refrigeração</t>
  </si>
  <si>
    <t>&lt;&lt;potenciaTotalAtualRefrig&gt;&gt;</t>
  </si>
  <si>
    <t>Consumo de Energia Anual Sistema Atual Refrigeração</t>
  </si>
  <si>
    <t>&lt;&lt;consumoEnergiaAtualRefrig&gt;&gt;</t>
  </si>
  <si>
    <t>Despesa Mensal com Energia Elétrica Sistema Atual Refrigeração</t>
  </si>
  <si>
    <t>&lt;&lt;despesaMensalAtualRefrig&gt;&gt;</t>
  </si>
  <si>
    <t>Potencial Total Sistema Proposto Refrigeração</t>
  </si>
  <si>
    <t>&lt;&lt;potenciaTotalPropRefrig&gt;&gt;</t>
  </si>
  <si>
    <t>Consumo de Energia Anual Sistema Proposto Refrigeração</t>
  </si>
  <si>
    <t>&lt;&lt;consumoEnergiaIPropRefrig&gt;&gt;</t>
  </si>
  <si>
    <t>Despesa Mensal com Energia Elétrica Sistema Proposto Refrigeração</t>
  </si>
  <si>
    <t>&lt;&lt;despesaMensalPropRefrig&gt;&gt;</t>
  </si>
  <si>
    <t>Redução de Demanda Refrigeração</t>
  </si>
  <si>
    <t>&lt;&lt;reduDemandaRefrig&gt;&gt;</t>
  </si>
  <si>
    <t>Redução do Consumo de Energia Anual Refrigeração</t>
  </si>
  <si>
    <t>&lt;&lt;reduConsuAnualRefrig&gt;&gt;</t>
  </si>
  <si>
    <t>Redução Percentual do Consumo de Energia Refrigeração</t>
  </si>
  <si>
    <t>&lt;&lt;reduPercentConsuRefrig&gt;&gt;</t>
  </si>
  <si>
    <t>Economia Mensal na Fatura de Energia Refrigeração</t>
  </si>
  <si>
    <t>&lt;&lt;economiaMensalRefrig&gt;&gt;</t>
  </si>
  <si>
    <t>Investimento Necessário Estimado Refrigeração</t>
  </si>
  <si>
    <t>&lt;&lt;investEstimadoRefrig&gt;&gt;</t>
  </si>
  <si>
    <t>Potencial Total Sistema Atual - Apenas Substituição Condicionamento Ambiental</t>
  </si>
  <si>
    <t>&lt;&lt;potenciaTotalAtualSubsCond&gt;&gt;</t>
  </si>
  <si>
    <t>Consumo de Energia Anual Sistema Atual - Apenas Substituição Condicionamento Ambiental</t>
  </si>
  <si>
    <t>&lt;&lt;consumoEnergiaAtualSubsCond&gt;&gt;</t>
  </si>
  <si>
    <t>Despesa Mensal com Energia Elétrica Sistema Atual - Apenas Substituição Condicionamento Ambiental</t>
  </si>
  <si>
    <t>&lt;&lt;despesaMensalAtualSubsCond&gt;&gt;</t>
  </si>
  <si>
    <t>Potencial Total Sistema Proposto - Apenas Substituição Condicionamento Ambiental</t>
  </si>
  <si>
    <t>&lt;&lt;potenciaTotalPropSubsCond&gt;&gt;</t>
  </si>
  <si>
    <t>Consumo de Energia Anual Sistema Proposto - Apenas Substituição Condicionamento Ambiental</t>
  </si>
  <si>
    <t>&lt;&lt;consumoEnergiaIPropSubsCond&gt;&gt;</t>
  </si>
  <si>
    <t>Despesa Mensal com Energia Elétrica Sistema Proposto - Apenas Substituição Condicionamento Ambiental</t>
  </si>
  <si>
    <t>&lt;&lt;despesaMensalPropSubsCond&gt;&gt;</t>
  </si>
  <si>
    <t>Redução de Demanda - Apenas Substituição Condicionamento Ambiental</t>
  </si>
  <si>
    <t>&lt;&lt;reduDemandaSubsCond&gt;&gt;</t>
  </si>
  <si>
    <t>Redução do Consumo de Energia Anual - Apenas Substituição Condicionamento Ambiental</t>
  </si>
  <si>
    <t>&lt;&lt;reduConsuAnualSubsCond&gt;&gt;</t>
  </si>
  <si>
    <t>Redução Percentual do Consumo de Energia - Apenas Substituição Condicionamento Ambiental</t>
  </si>
  <si>
    <t>&lt;&lt;reduPercentConsuSubsCond&gt;&gt;</t>
  </si>
  <si>
    <t>Economia Mensal na Fatura de Energia - Apenas Substituição Condicionamento Ambiental</t>
  </si>
  <si>
    <t>&lt;&lt;economiaMensalSubsCond&gt;&gt;</t>
  </si>
  <si>
    <t>Investimento Necessário Estimado - Apenas Substituição Condicionamento Ambiental</t>
  </si>
  <si>
    <t>&lt;&lt;investEstimadoSubsCond&gt;&gt;</t>
  </si>
  <si>
    <t>Potencial Total Sistema Atual - Apenas Automação Condicionamento Ambiental</t>
  </si>
  <si>
    <t>&lt;&lt;potenciaTotalAtualAutoCond&gt;&gt;</t>
  </si>
  <si>
    <t>Consumo de Energia Anual Sistema Atual - Apenas Automação Condicionamento Ambiental</t>
  </si>
  <si>
    <t>&lt;&lt;consumoEnergiaAtualAutoCond&gt;&gt;</t>
  </si>
  <si>
    <t>Despesa Mensal com Energia Elétrica Sistema Atual - Apenas Automação Condicionamento Ambiental</t>
  </si>
  <si>
    <t>&lt;&lt;despesaMensalAtualAutoCond&gt;&gt;</t>
  </si>
  <si>
    <t>Potencial Total Sistema Proposto - Apenas Automação Condicionamento Ambiental</t>
  </si>
  <si>
    <t>&lt;&lt;potenciaTotalPropAutoCond&gt;&gt;</t>
  </si>
  <si>
    <t>Consumo de Energia Anual Sistema Proposto - Apenas Automação Condicionamento Ambiental</t>
  </si>
  <si>
    <t>&lt;&lt;consumoEnergiaIPropAutoCond&gt;&gt;</t>
  </si>
  <si>
    <t>Despesa Mensal com Energia Elétrica Sistema Proposto - Apenas Automação Condicionamento Ambiental</t>
  </si>
  <si>
    <t>&lt;&lt;despesaMensalPropAutoCond&gt;&gt;</t>
  </si>
  <si>
    <t>Redução de Demanda - Apenas Automação Condicionamento Ambiental</t>
  </si>
  <si>
    <t>&lt;&lt;reduDemandaAutoCond&gt;&gt;</t>
  </si>
  <si>
    <t>Redução do Consumo de Energia Anual - Apenas Automação Condicionamento Ambiental</t>
  </si>
  <si>
    <t>&lt;&lt;reduConsuAnualAutoCond&gt;&gt;</t>
  </si>
  <si>
    <t>Redução Percentual do Consumo de Energia - Apenas Automação Condicionamento Ambiental</t>
  </si>
  <si>
    <t>&lt;&lt;reduPercentConsuAutoCond&gt;&gt;</t>
  </si>
  <si>
    <t>Economia Mensal na Fatura de Energia - Apenas Automação Condicionamento Ambiental</t>
  </si>
  <si>
    <t>&lt;&lt;economiaMensalAutoCond&gt;&gt;</t>
  </si>
  <si>
    <t>Investimento Necessário Estimado - Apenas Automação Condicionamento Ambiental</t>
  </si>
  <si>
    <t>&lt;&lt;investEstimadoAutoCond&gt;&gt;</t>
  </si>
  <si>
    <t>Potencial Total Sistema Atual - Automação e Substituição Condicionamento Ambiental</t>
  </si>
  <si>
    <t>&lt;&lt;potenciaTotalAtualAutoSubsCond&gt;&gt;</t>
  </si>
  <si>
    <t>Consumo de Energia Anual Sistema Atual - Automação e Substituição Condicionamento Ambiental</t>
  </si>
  <si>
    <t>&lt;&lt;consumoEnergiaAtualAutoSubsCond&gt;&gt;</t>
  </si>
  <si>
    <t>Despesa Mensal com Energia Elétrica Sistema Atual - Automação e Substituição Condicionamento Ambiental</t>
  </si>
  <si>
    <t>&lt;&lt;despesaMensalAtualAutoSubsCond&gt;&gt;</t>
  </si>
  <si>
    <t>Potencial Total Sistema Proposto - Automação e Substituição Condicionamento Ambiental</t>
  </si>
  <si>
    <t>&lt;&lt;potenciaTotalPropAutoSubsCond&gt;&gt;</t>
  </si>
  <si>
    <t>Consumo de Energia Anual Sistema Proposto - Automação e Substituição Condicionamento Ambiental</t>
  </si>
  <si>
    <t>&lt;&lt;consumoEnergiaIPropAutoSubsCond&gt;&gt;</t>
  </si>
  <si>
    <t>Despesa Mensal com Energia Elétrica Sistema Proposto - Automação e Substituição Condicionamento Ambiental</t>
  </si>
  <si>
    <t>&lt;&lt;despesaMensalPropAutoSubsCond&gt;&gt;</t>
  </si>
  <si>
    <t>Redução de Demanda - Automação e Substituição Condicionamento Ambiental</t>
  </si>
  <si>
    <t>&lt;&lt;reduDemandaAutoSubsCond&gt;&gt;</t>
  </si>
  <si>
    <t>Redução do Consumo de Energia Anual - Automação e Substituição Condicionamento Ambiental</t>
  </si>
  <si>
    <t>&lt;&lt;reduConsuAnualAutoSubsCond&gt;&gt;</t>
  </si>
  <si>
    <t>Redução Percentual do Consumo de Energia - Automação e Substituição Condicionamento Ambiental</t>
  </si>
  <si>
    <t>&lt;&lt;reduPercentConsuAutoSubsCond&gt;&gt;</t>
  </si>
  <si>
    <t>Economia Mensal na Fatura de Energia - Automação e Substituição Condicionamento Ambiental</t>
  </si>
  <si>
    <t>&lt;&lt;economiaMensalAutoSubsCond&gt;&gt;</t>
  </si>
  <si>
    <t>Investimento Necessário Estimado - Automação e Substituição Condicionamento Ambiental</t>
  </si>
  <si>
    <t>&lt;&lt;investEstimadoAutoSubsCond&gt;&gt;</t>
  </si>
  <si>
    <t>&lt;&lt;medidaPropostaIlum&gt;&gt;</t>
  </si>
  <si>
    <t>&lt;&lt;medidaPropostaClimatizacao&gt;&gt;</t>
  </si>
  <si>
    <t>&lt;&lt;medidaPropostaMotores&gt;&gt;</t>
  </si>
  <si>
    <t>&lt;&lt;medidaPropostaRefrigeracao&gt;&gt;</t>
  </si>
  <si>
    <t>Aquecimento de água / Medida Proposta</t>
  </si>
  <si>
    <t>&lt;&lt;medidaPropostaAquecimentoAgua&gt;&gt;</t>
  </si>
  <si>
    <t>&lt;&lt;medidaPropostaFotovoltaico&gt;&gt;</t>
  </si>
  <si>
    <t>&lt;&lt;economiaIlumMWhAno&gt;&gt;</t>
  </si>
  <si>
    <t>&lt;&lt;economiaClimatizacaoMWhAno&gt;&gt;</t>
  </si>
  <si>
    <t>&lt;&lt;economiaMotoresMWhAno&gt;&gt;</t>
  </si>
  <si>
    <t>&lt;&lt;economiaRefrigeracaoMWhAno&gt;&gt;</t>
  </si>
  <si>
    <t>Aquecimento de água / Economia (MWh/ano)</t>
  </si>
  <si>
    <t>&lt;&lt;economiaAquecimentoAguaMWhAno&gt;&gt;</t>
  </si>
  <si>
    <t>&lt;&lt;economiaFotovoltaicoMWhAno&gt;&gt;</t>
  </si>
  <si>
    <t>Iluminação / Redução de demanda (kW)</t>
  </si>
  <si>
    <t>&lt;&lt;reducaoDemandaIlumkW&gt;&gt;</t>
  </si>
  <si>
    <t>Climatização / Redução de demanda (kW)</t>
  </si>
  <si>
    <t>&lt;&lt;reducaoDemandaClimatizacaokW&gt;&gt;</t>
  </si>
  <si>
    <t>Motores / Redução de demanda (kW)</t>
  </si>
  <si>
    <t>&lt;&lt;reducaoDemandaMotoreskW&gt;&gt;</t>
  </si>
  <si>
    <t>Refrigeração / Redução de demanda (kW)</t>
  </si>
  <si>
    <t>&lt;&lt;reducaoDemandaRefrigeracaokW&gt;&gt;</t>
  </si>
  <si>
    <t>Aquecimento de água / Redução de demanda (kW)</t>
  </si>
  <si>
    <t>&lt;&lt;reducaoDemandaAquecimentoAguakW&gt;&gt;</t>
  </si>
  <si>
    <t>Fotovoltaico / Redução de demanda (kW)</t>
  </si>
  <si>
    <t>&lt;&lt;reducaoDemandaFotovoltaicokW&gt;&gt;</t>
  </si>
  <si>
    <t>Iluminação / Investimento (R$)</t>
  </si>
  <si>
    <t>&lt;&lt;investimentoIlumRS&gt;&gt;</t>
  </si>
  <si>
    <t>Climatização / Investimento (R$)</t>
  </si>
  <si>
    <t>&lt;&lt;investimentoClimatizacaoRS&gt;&gt;</t>
  </si>
  <si>
    <t>Motores / Investimento (R$)</t>
  </si>
  <si>
    <t>&lt;&lt;investimentoMotoresRS&gt;&gt;</t>
  </si>
  <si>
    <t>Refrigeração / Investimento (R$)</t>
  </si>
  <si>
    <t>&lt;&lt;investimentoRefrigeracaoRS&gt;&gt;</t>
  </si>
  <si>
    <t>Aquecimento de água / Investimento (R$)</t>
  </si>
  <si>
    <t>&lt;&lt;investimentoAquecimentoAguaRS&gt;&gt;</t>
  </si>
  <si>
    <t>Fotovoltaico / Investimento (R$)</t>
  </si>
  <si>
    <t>&lt;&lt;investimentoFotovoltaicoRS&gt;&gt;</t>
  </si>
  <si>
    <t>Iluminação / Prioridade</t>
  </si>
  <si>
    <t>&lt;&lt;prioridadeIlum&gt;&gt;</t>
  </si>
  <si>
    <t>Climatização / Prioridade</t>
  </si>
  <si>
    <t>&lt;&lt;prioridadeClimatizacao&gt;&gt;</t>
  </si>
  <si>
    <t>Motores / Prioridade</t>
  </si>
  <si>
    <t>&lt;&lt;prioridadeMotores&gt;&gt;</t>
  </si>
  <si>
    <t>Refrigeração / Prioridade</t>
  </si>
  <si>
    <t>&lt;&lt;prioridadeRefrigeracao&gt;&gt;</t>
  </si>
  <si>
    <t>Aquecimento de água / Prioridade</t>
  </si>
  <si>
    <t>&lt;&lt;prioridadeAquecimentoAgua&gt;&gt;</t>
  </si>
  <si>
    <t>Fotovoltaico / Prioridade</t>
  </si>
  <si>
    <t>&lt;&lt;prioridadeFotovoltaico&gt;&gt;</t>
  </si>
  <si>
    <t>faturas disponiveis</t>
  </si>
  <si>
    <t>&lt;&lt;faturasDisponiveis&gt;&gt;</t>
  </si>
  <si>
    <t>Localidade</t>
  </si>
  <si>
    <t xml:space="preserve">Telefone para Contato </t>
  </si>
  <si>
    <t>E-mail institucional</t>
  </si>
  <si>
    <t>Alunos</t>
  </si>
  <si>
    <t>Consumo médio mensal (kWh/mês)</t>
  </si>
  <si>
    <t>Consumo específico Típico</t>
  </si>
  <si>
    <t>Tipo de Edificação</t>
  </si>
  <si>
    <t xml:space="preserve">Resnposável Técnico </t>
  </si>
  <si>
    <t>Luiz Carlos Alves Lima</t>
  </si>
  <si>
    <t>Grupo</t>
  </si>
  <si>
    <t>Preço da Energia do Ultimo Mês</t>
  </si>
  <si>
    <t>Distribuidora de Energia</t>
  </si>
  <si>
    <t>Maior Consumo Registrado (kWh)</t>
  </si>
  <si>
    <t>Mês/Ano do Maior Consumo</t>
  </si>
  <si>
    <t>Mês/Ano do Menor Consumo</t>
  </si>
  <si>
    <t>Mês / Ano</t>
  </si>
  <si>
    <t>Consumo Ponta (kWh)</t>
  </si>
  <si>
    <t>Consumo Fora Ponta (kWh)</t>
  </si>
  <si>
    <t>Consumo Total (kW)</t>
  </si>
  <si>
    <t>Demanda Ponta (kW)</t>
  </si>
  <si>
    <t>Demanda Fora Ponta (kW)</t>
  </si>
  <si>
    <t>Despesa C/ Energia</t>
  </si>
  <si>
    <t>Custo anual de energia elétrica (R$)</t>
  </si>
  <si>
    <t>Faturas Disponíveis</t>
  </si>
  <si>
    <t>Todas as faturas disponíveis no histórico de análise dos últimos 12 meses.</t>
  </si>
  <si>
    <t>Fator de carga Ponta</t>
  </si>
  <si>
    <t>Fator de carga Fora Ponta</t>
  </si>
  <si>
    <t>Fator de Potencia</t>
  </si>
  <si>
    <t>Custo Médio Unitário (R$/kWh)</t>
  </si>
  <si>
    <t>TOTAIS</t>
  </si>
  <si>
    <t>UNIDADE CONSUMIDORA</t>
  </si>
  <si>
    <t>SITUAÇÃO ATUAL</t>
  </si>
  <si>
    <t>SISTEMA PROPOSTO</t>
  </si>
  <si>
    <t>RESULTADOS ESPERADOS</t>
  </si>
  <si>
    <t>RESULTADO AUTOMAÇÃO
(10%)</t>
  </si>
  <si>
    <t xml:space="preserve">AUTOMAÇÃO + TROCA DE EQUIPAMENTO </t>
  </si>
  <si>
    <t>Unidade consumidora (Número da conta contrato)</t>
  </si>
  <si>
    <t>Pavimento</t>
  </si>
  <si>
    <t>Ambiente</t>
  </si>
  <si>
    <t>Descrição do sistema</t>
  </si>
  <si>
    <t>Tipo de equipamento / tecnologia</t>
  </si>
  <si>
    <t>Classificação Inmetro</t>
  </si>
  <si>
    <t>Potência nominal de refrigeração (BTU/h)</t>
  </si>
  <si>
    <t>Coefiente de eficiência energética (W/W)</t>
  </si>
  <si>
    <t>Quantidade</t>
  </si>
  <si>
    <t>Potência instalada (kW)</t>
  </si>
  <si>
    <t>Fator de utilização</t>
  </si>
  <si>
    <t>Potência média utilizada (kW)</t>
  </si>
  <si>
    <t>Funcionamento (h/dia)</t>
  </si>
  <si>
    <t>Funcionamento (h/ano)</t>
  </si>
  <si>
    <t>Meses no ano, de utilização do Sistema</t>
  </si>
  <si>
    <t>Dias úteis no mês, de utilização do Sistema</t>
  </si>
  <si>
    <t>Horas por dia, de utilização do Sistema no horário de Ponta (horas)</t>
  </si>
  <si>
    <t>Fator de coincidência na ponta</t>
  </si>
  <si>
    <t>Energia consumida (MWh/ano)</t>
  </si>
  <si>
    <t>Demanda média na ponta (kW)</t>
  </si>
  <si>
    <t>Preço Unitário
(R$)</t>
  </si>
  <si>
    <t>Meses no ano, de utilização do Sistema no horário de Ponta (meses)</t>
  </si>
  <si>
    <t>Dias úteis no mês, de utilização do Sistema no horário de Ponta (dia)</t>
  </si>
  <si>
    <t>Redução de demanda na ponta (kW)</t>
  </si>
  <si>
    <t>Energia economizada (MWh/ano)</t>
  </si>
  <si>
    <t>Investimento
(R$)</t>
  </si>
  <si>
    <t xml:space="preserve">Redução de consumo proposto em relação ao consumo total da UC (%) 
</t>
  </si>
  <si>
    <t>TOTAL</t>
  </si>
  <si>
    <t>Unidade Consumidora</t>
  </si>
  <si>
    <t>Porte</t>
  </si>
  <si>
    <t>Estado de Conservação</t>
  </si>
  <si>
    <t>Descrição do Sistema</t>
  </si>
  <si>
    <t>Potência nominal (W)</t>
  </si>
  <si>
    <t xml:space="preserve">Meses no ano, de utilização do Sistema </t>
  </si>
  <si>
    <t xml:space="preserve">Porte </t>
  </si>
  <si>
    <t>Potência média utilizada (W)</t>
  </si>
  <si>
    <t>Dias úteis no mês, de utilização do Sistema no horário de Ponta (dias)</t>
  </si>
  <si>
    <t>RESULTADO AUTOMAÇÃO
(15%)</t>
  </si>
  <si>
    <t>Lâmpadas</t>
  </si>
  <si>
    <t>Reatores</t>
  </si>
  <si>
    <t>Potência Instalada (kW)</t>
  </si>
  <si>
    <t>Energia economizada 
(MWh/ano)</t>
  </si>
  <si>
    <t>Potência (W)</t>
  </si>
  <si>
    <t>LED</t>
  </si>
  <si>
    <t>Potência do motor (cv)</t>
  </si>
  <si>
    <t>Carregamento</t>
  </si>
  <si>
    <t>Rendimento nominal (%)</t>
  </si>
  <si>
    <t>Rendimento no ponto de carregamento (%)</t>
  </si>
  <si>
    <t xml:space="preserve">TOTAL </t>
  </si>
  <si>
    <t>Potência nominal do equipamento (W)</t>
  </si>
  <si>
    <t>Fator de Utilização</t>
  </si>
  <si>
    <t>Potência média na ponta (W)</t>
  </si>
  <si>
    <t>Uso Final</t>
  </si>
  <si>
    <t>Medida Proposta</t>
  </si>
  <si>
    <t>Economia (MWh/ano)</t>
  </si>
  <si>
    <t>Redução de demanda (kW)</t>
  </si>
  <si>
    <t xml:space="preserve">Investimento (R$) </t>
  </si>
  <si>
    <t>Prioridade</t>
  </si>
  <si>
    <t>iluminação</t>
  </si>
  <si>
    <t>Substituição por LED e sensores de presença</t>
  </si>
  <si>
    <t>Climatização</t>
  </si>
  <si>
    <t>Troca de aparelhos de ar-condicionado e automação</t>
  </si>
  <si>
    <t>Motores</t>
  </si>
  <si>
    <t>Substituição por motores de alto rendimento</t>
  </si>
  <si>
    <t>Refrigeração</t>
  </si>
  <si>
    <t>Substituição de equipamentos antigos</t>
  </si>
  <si>
    <t>Aquecimento de água</t>
  </si>
  <si>
    <t>Instalação de sistema solar térmico</t>
  </si>
  <si>
    <t>Fotovoltaico</t>
  </si>
  <si>
    <t>Implantação de sistema de geração distribuída</t>
  </si>
  <si>
    <t>Uso final</t>
  </si>
  <si>
    <t xml:space="preserve">Medida Proposta </t>
  </si>
  <si>
    <t xml:space="preserve">Economia (MWh/ano) </t>
  </si>
  <si>
    <t>Invest. Total (R$)</t>
  </si>
  <si>
    <t>PB (Anos)</t>
  </si>
  <si>
    <t>Iluminação</t>
  </si>
  <si>
    <t>Substituição por LED e sensores</t>
  </si>
  <si>
    <t>Troca de refrigeradores comerciais ineficientes</t>
  </si>
  <si>
    <t xml:space="preserve">Geração fotovoltaica </t>
  </si>
  <si>
    <t>Sistema conectado à rede (GD)</t>
  </si>
  <si>
    <t>Total</t>
  </si>
  <si>
    <t>Sistema de Iluminação</t>
  </si>
  <si>
    <t>Sistema de Refrigeração</t>
  </si>
  <si>
    <t>Sistema Atual</t>
  </si>
  <si>
    <t>O sistema composto por luminárias LED, porém sem automação para acionamento e desligamento programado.</t>
  </si>
  <si>
    <t>Sistemas de Refrigeração com baixo índice de eficiência energética e com estado de conservação insatisfatório</t>
  </si>
  <si>
    <t>Potência Total (kW)</t>
  </si>
  <si>
    <t>Consumo de Energia Anual (MWh)</t>
  </si>
  <si>
    <t>Despesa Mensal com Energia Elétrica</t>
  </si>
  <si>
    <t>Sistema Proposto</t>
  </si>
  <si>
    <t>Instalação da automação para acionamento e desligamento programado.</t>
  </si>
  <si>
    <t>Instalação de Sistemas de Refrigeração com alto índice de eficiência energética</t>
  </si>
  <si>
    <t>Despesa mensal com Energia Elétrica</t>
  </si>
  <si>
    <t>Resultados Previstos</t>
  </si>
  <si>
    <t>Redução de Demanda (kW)</t>
  </si>
  <si>
    <t>Redução do Consumo de Energia Anual (MWh)</t>
  </si>
  <si>
    <t>Redução Percentual do Consumo de Energia %</t>
  </si>
  <si>
    <t xml:space="preserve">Economia Mensal na Fatura de Energia </t>
  </si>
  <si>
    <t xml:space="preserve">Investimento Necessário Estimado </t>
  </si>
  <si>
    <t xml:space="preserve">Sistema de Condicionamento Ambiental </t>
  </si>
  <si>
    <t>BESS</t>
  </si>
  <si>
    <t>Sistemas de Condicionamento Ambiental com baixo índice de eficiência energética</t>
  </si>
  <si>
    <t>Instalação de Sistemas de Condicionamento Ambiental com alto índice de eficiência energética</t>
  </si>
  <si>
    <t xml:space="preserve"> </t>
  </si>
  <si>
    <t xml:space="preserve">Setorização da Medição </t>
  </si>
  <si>
    <t>Sistemas de Condicionamento Ambiental sem automação para acionamento e desligamento programado e com baixo índice de eficiência energética</t>
  </si>
  <si>
    <t xml:space="preserve">Uma única medição para um complexo com diversas unidades consumidoras </t>
  </si>
  <si>
    <t>Instalação de Sistemas de Condicionamento Ambiental com alto índice de eficiência energética e com automação para acionamento e desligamento programado.</t>
  </si>
  <si>
    <t>Instalação de uma medição para cada unidade consumidora presente no complexo</t>
  </si>
  <si>
    <t>Sistemas com Motores</t>
  </si>
  <si>
    <t>Sistemas de Condicionamento Ambiental sem automação para acionamento e desligamento programado</t>
  </si>
  <si>
    <t>Distribuição do Consumo</t>
  </si>
  <si>
    <t>(kWh)</t>
  </si>
  <si>
    <t>(%)</t>
  </si>
  <si>
    <t>Sistemas Motrizes</t>
  </si>
  <si>
    <t>Outros</t>
  </si>
  <si>
    <t>Premissas</t>
  </si>
  <si>
    <t>Custo Un. do Mwh</t>
  </si>
  <si>
    <t>Custos Operacionais</t>
  </si>
  <si>
    <t>Redução de Consmo (Automação do Sistema)</t>
  </si>
  <si>
    <t>Descrição</t>
  </si>
  <si>
    <t>Alíquotas</t>
  </si>
  <si>
    <t>Metodologia</t>
  </si>
  <si>
    <t>R$/MWh</t>
  </si>
  <si>
    <t>Mão de obra - Substituição</t>
  </si>
  <si>
    <t>Economia (%)</t>
  </si>
  <si>
    <t>IRPJ e CSSL</t>
  </si>
  <si>
    <t>Direta</t>
  </si>
  <si>
    <t>Mão de obra - Intalação completa</t>
  </si>
  <si>
    <t>Enermatch</t>
  </si>
  <si>
    <t>TMA a.a.</t>
  </si>
  <si>
    <t>Indireta</t>
  </si>
  <si>
    <t>Aquisição do Equipamento + Software (P/ Ponto)</t>
  </si>
  <si>
    <t>Mensalidade de Software (P/ Ponto)</t>
  </si>
  <si>
    <t>Sistemas de Iluminação</t>
  </si>
  <si>
    <t>Contagem de Pontos</t>
  </si>
  <si>
    <t xml:space="preserve">Mão de obra </t>
  </si>
  <si>
    <t>Fator de correção</t>
  </si>
  <si>
    <t>Faturas</t>
  </si>
  <si>
    <t>Levantamento</t>
  </si>
  <si>
    <t>Fator</t>
  </si>
  <si>
    <t>OPÇÃO RECOMENDADA — Cond. Ambiental</t>
  </si>
  <si>
    <t>Indicador</t>
  </si>
  <si>
    <t>T1 — Subst. + Automação</t>
  </si>
  <si>
    <t xml:space="preserve">T2 — Substituição </t>
  </si>
  <si>
    <t>T3 — Automação (sem troca)</t>
  </si>
  <si>
    <t>Solução escolhida:</t>
  </si>
  <si>
    <t>Investimento (R$)</t>
  </si>
  <si>
    <t>Investimento Total:</t>
  </si>
  <si>
    <t>Economia Anual (R$/ano)</t>
  </si>
  <si>
    <t>Economia Anual de Energia:</t>
  </si>
  <si>
    <t>VPL — 10 anos (R$)</t>
  </si>
  <si>
    <t>VPL (10 anos, TMA 15% a.a.):</t>
  </si>
  <si>
    <t>TIR (% a.a.)</t>
  </si>
  <si>
    <t>RBC (Razão Benefício/Custo):</t>
  </si>
  <si>
    <t>RBC (Razão Benefício/Custo)</t>
  </si>
  <si>
    <t>Payback Simples:</t>
  </si>
  <si>
    <t>Payback Simples (anos)</t>
  </si>
  <si>
    <t>Justificativa:</t>
  </si>
  <si>
    <t>Maior VPL absoluto entre as três opções avaliadas</t>
  </si>
  <si>
    <t>VPL da opção escolhida:</t>
  </si>
  <si>
    <t>Sistema de Cond. Ambiental - Combinado (Substituição + Automação)</t>
  </si>
  <si>
    <t>Sistema de Cond. Ambiental - Com mão de obra</t>
  </si>
  <si>
    <t>Sistema de Cond. Ambiental - Sistema Automatizado (sem troca)</t>
  </si>
  <si>
    <t>Ano</t>
  </si>
  <si>
    <t>Investimento :</t>
  </si>
  <si>
    <t>Redução de Custos de Energia:</t>
  </si>
  <si>
    <t>Fluxo de Caixa:</t>
  </si>
  <si>
    <t>TIR ===&gt;</t>
  </si>
  <si>
    <t>RBC ===&gt;</t>
  </si>
  <si>
    <t>VPL ===&gt;</t>
  </si>
  <si>
    <t>PBS ===&gt;</t>
  </si>
  <si>
    <t>ano</t>
  </si>
  <si>
    <t>ECONOMIA (MWh/ano) ===&gt;</t>
  </si>
  <si>
    <t>Iluminação - Sistema Automatizado (sem troca)</t>
  </si>
  <si>
    <t xml:space="preserve">Motores </t>
  </si>
  <si>
    <t>Setorização da Medição</t>
  </si>
  <si>
    <t xml:space="preserve">Sistema de Refrigeração  - Sbstituição </t>
  </si>
  <si>
    <t>Tipo_Uso</t>
  </si>
  <si>
    <t>Tipo_Equipamento</t>
  </si>
  <si>
    <t>Potência</t>
  </si>
  <si>
    <t>Preço</t>
  </si>
  <si>
    <t xml:space="preserve">Classificação Inmetro </t>
  </si>
  <si>
    <t>EER
(W/W)</t>
  </si>
  <si>
    <t>Preço (R$)</t>
  </si>
  <si>
    <t>Referência</t>
  </si>
  <si>
    <t>Capacidade (L)</t>
  </si>
  <si>
    <t>Consumo
(kWh/mês)</t>
  </si>
  <si>
    <t>FU</t>
  </si>
  <si>
    <t>Deconto da Automação</t>
  </si>
  <si>
    <t>Condicionamento Ambiental</t>
  </si>
  <si>
    <t>Split Hi-Wall</t>
  </si>
  <si>
    <t>A</t>
  </si>
  <si>
    <t>FTKP09S5VL</t>
  </si>
  <si>
    <t>Geladeira</t>
  </si>
  <si>
    <t>Pequeno</t>
  </si>
  <si>
    <t>Electrolux RE31</t>
  </si>
  <si>
    <t>FTKP12S5VL</t>
  </si>
  <si>
    <t>Médio</t>
  </si>
  <si>
    <t>Midea MD-RT468MTA</t>
  </si>
  <si>
    <t>FTKP18S5VL</t>
  </si>
  <si>
    <t>Grande</t>
  </si>
  <si>
    <t>Electrolux IB45 Inverter</t>
  </si>
  <si>
    <t>Fujitsu Airstage ASBA22KPCA</t>
  </si>
  <si>
    <t>Freezer Horizontal</t>
  </si>
  <si>
    <t>Consul CHA31</t>
  </si>
  <si>
    <t>FTKP24S5VL</t>
  </si>
  <si>
    <t>Electrolux H440</t>
  </si>
  <si>
    <t>Elgin Eco Inverter II</t>
  </si>
  <si>
    <t>Electrolux HI550 Inverter</t>
  </si>
  <si>
    <t>Split Piso Teto</t>
  </si>
  <si>
    <t>Fujitsu Airstage Premium ABBH18KRTA/AOBH18KBTB</t>
  </si>
  <si>
    <t>Freezer Vertical</t>
  </si>
  <si>
    <t>Electrolux FEI19 Inverter</t>
  </si>
  <si>
    <t>Teto Inverter Fujitsu Airstage Premium (ABBH24KRTA/AOBH24KBTB)</t>
  </si>
  <si>
    <t>Electrolux FEI27 Inverter</t>
  </si>
  <si>
    <t>Teto Inverter Fujitsu Airstage Premium (ABBH30KRTA/AOBH30KBTB)</t>
  </si>
  <si>
    <t>Metalfrio VN44</t>
  </si>
  <si>
    <t>GULD36ZD1/A-S / GULD36W1/NHA-S</t>
  </si>
  <si>
    <t>Frigobar</t>
  </si>
  <si>
    <t>Consul CRC08</t>
  </si>
  <si>
    <t>EASMPT48000F</t>
  </si>
  <si>
    <t>Bebedouro</t>
  </si>
  <si>
    <t>Frisbel B50 Inox</t>
  </si>
  <si>
    <t>ED020N2550 / CF090W2530</t>
  </si>
  <si>
    <t xml:space="preserve"> Inverter Connect AUV-60UR2RNCAE</t>
  </si>
  <si>
    <t>Split Cassete</t>
  </si>
  <si>
    <t>Fujitsu Airstage Cassete R32 (AUBH24KRTA)</t>
  </si>
  <si>
    <t>Daikin SkyAir FCQ30KVL Inverter</t>
  </si>
  <si>
    <t>Daikin SkyAir FCQ36KVL Inverter</t>
  </si>
  <si>
    <t>Daikin SkyAir FCQ48KVL Inverter</t>
  </si>
  <si>
    <t>Daikin SkyAir Inverter (sob consulta)</t>
  </si>
  <si>
    <t>DADOS DO COLETOR</t>
  </si>
  <si>
    <t>DADOS DO RESERVATÓRIO</t>
  </si>
  <si>
    <t>DADOS DO PROJETO</t>
  </si>
  <si>
    <t>FATOR DE COINCIDÊNCIA NA PONTA</t>
  </si>
  <si>
    <t>Fabricante coletor solar</t>
  </si>
  <si>
    <t>Marca e modelo do coletor solar</t>
  </si>
  <si>
    <t>Área externa (m²)</t>
  </si>
  <si>
    <t>Produção média mensal de energia (kWh/mês)</t>
  </si>
  <si>
    <t>Eficiência energética (%)</t>
  </si>
  <si>
    <t>Produção média mensal de energia por área coletora (kWh/m2×mês)</t>
  </si>
  <si>
    <t>Área coletora por unidade consumidora (m²)</t>
  </si>
  <si>
    <t>Número de coletores solares</t>
  </si>
  <si>
    <t>Fabricante do reservatório térmico</t>
  </si>
  <si>
    <t>Modelo do reservatório térmico</t>
  </si>
  <si>
    <t>Volume do reservatório térmico (L)</t>
  </si>
  <si>
    <t>Perda específica energética mensal (kWh/mês/L)</t>
  </si>
  <si>
    <t>Volume de água quente consumida (L)</t>
  </si>
  <si>
    <t>Número mínimo de reservatórios com apoio elétrico</t>
  </si>
  <si>
    <t>Número médio de chuveiros por UC</t>
  </si>
  <si>
    <t>Potência máxima típica dos chuveiros utilizados (W)</t>
  </si>
  <si>
    <t>Potência média do aquecimento auxiliar</t>
  </si>
  <si>
    <t>Fração solar</t>
  </si>
  <si>
    <t>Nº médio de banhos/dia</t>
  </si>
  <si>
    <t>Tempo médio de banho (min)</t>
  </si>
  <si>
    <t>Vazão típica do chuveiro (L/min)</t>
  </si>
  <si>
    <t>Cidade de referência</t>
  </si>
  <si>
    <t>Número médio de banhos na ponta</t>
  </si>
  <si>
    <t>Número de chuveiros por unidade consumidora</t>
  </si>
  <si>
    <t>Potência nominal do sistema (W)</t>
  </si>
  <si>
    <t>Potência instalada de geração (kW)</t>
  </si>
  <si>
    <t>Dias de funcionamento do sistema, em um ano (dia/ano)</t>
  </si>
  <si>
    <t>Meses no ano, de funcionamento do Sistema no horário de Ponta (meses)</t>
  </si>
  <si>
    <t>Dias úteis no mês, de funcionamento do Sistema no horário de Ponta (dias)</t>
  </si>
  <si>
    <t>Horas por dia, de funcionamento do Sistema no horário de Ponta (horas)</t>
  </si>
  <si>
    <t>Demanda atendida na ponta (kW)</t>
  </si>
  <si>
    <t>Demanda atendida fora de ponta (kW)</t>
  </si>
  <si>
    <t>Energia gerada na ponta (MWh/ano)</t>
  </si>
  <si>
    <t>Energia gerada fora de ponta (MWh/ano)</t>
  </si>
  <si>
    <t>Energia gerada total (MWh/ano)</t>
  </si>
  <si>
    <t>id_fatura</t>
  </si>
  <si>
    <t>status_pagamento</t>
  </si>
  <si>
    <t>status_leitura</t>
  </si>
  <si>
    <t>nome_empresa_cliente</t>
  </si>
  <si>
    <t>valor_total_em_reais</t>
  </si>
  <si>
    <t>nome_uc</t>
  </si>
  <si>
    <t>tipo_uc</t>
  </si>
  <si>
    <t>nome_grupo_uc</t>
  </si>
  <si>
    <t>tipo_instalacao</t>
  </si>
  <si>
    <t>nome_distribuidora_energia</t>
  </si>
  <si>
    <t>data_emissao</t>
  </si>
  <si>
    <t>data_vencimento</t>
  </si>
  <si>
    <t>periodo_referencia</t>
  </si>
  <si>
    <t>proxima_leitura_fatura</t>
  </si>
  <si>
    <t>leitura_atual_fatura</t>
  </si>
  <si>
    <t>ultima_leitura_fatura</t>
  </si>
  <si>
    <t>numero_dias</t>
  </si>
  <si>
    <t>consumo_minimo</t>
  </si>
  <si>
    <t>id_ultima_fatura</t>
  </si>
  <si>
    <t>periodo_referencia_ultima_fatura</t>
  </si>
  <si>
    <t>demanda_contratada</t>
  </si>
  <si>
    <t>demanda_contratada_ponta</t>
  </si>
  <si>
    <t>demanda_contratada_fora_ponta</t>
  </si>
  <si>
    <t>nome_classe</t>
  </si>
  <si>
    <t>descricao_classe</t>
  </si>
  <si>
    <t>tipo_fornecimento</t>
  </si>
  <si>
    <t>codigo_cliente</t>
  </si>
  <si>
    <t>codigo_instalacao</t>
  </si>
  <si>
    <t>consumo_total</t>
  </si>
  <si>
    <t>consumo_total_com_perda_transformacao</t>
  </si>
  <si>
    <t>consumo_compensado_total</t>
  </si>
  <si>
    <t>consumo_faturado_total</t>
  </si>
  <si>
    <t>energia_total_injetada</t>
  </si>
  <si>
    <t>consumo_ponta</t>
  </si>
  <si>
    <t>consumo_ponta_com_perda_transformacao</t>
  </si>
  <si>
    <t>consumo_fora_ponta</t>
  </si>
  <si>
    <t>consumo_fora_ponta_com_perda_transformacao</t>
  </si>
  <si>
    <t>consumo_intermediario</t>
  </si>
  <si>
    <t>consumo_intermediario_com_perda_transformacao</t>
  </si>
  <si>
    <t>consumo_compensado_ponta</t>
  </si>
  <si>
    <t>consumo_compensado_fora_ponta</t>
  </si>
  <si>
    <t>consumo_compensado_intermediário</t>
  </si>
  <si>
    <t>consumo_faturado_ponta</t>
  </si>
  <si>
    <t>consumo_faturado_fora_ponta</t>
  </si>
  <si>
    <t>consumo_faturado_intermediario</t>
  </si>
  <si>
    <t>demanda_maxima</t>
  </si>
  <si>
    <t>demanda_maxima_ponta</t>
  </si>
  <si>
    <t>demanda_maxima_fora_ponta</t>
  </si>
  <si>
    <t>demanda_de_ultrapassagem</t>
  </si>
  <si>
    <t>demanda_de_ultrapassagem_ponta</t>
  </si>
  <si>
    <t>demanda_de_ultrapassagem_fora_ponta</t>
  </si>
  <si>
    <t>demanda_faturada</t>
  </si>
  <si>
    <t>demanda_faturada_ponta</t>
  </si>
  <si>
    <t>demanda_faturada_fora_ponta</t>
  </si>
  <si>
    <t>consumo_reativo_total</t>
  </si>
  <si>
    <t>consumo_reativo_ponta</t>
  </si>
  <si>
    <t>consumo_reativo_fora_ponta</t>
  </si>
  <si>
    <t>consumo_reativo_excedente_total</t>
  </si>
  <si>
    <t>consumo_reativo_excedente_ponta</t>
  </si>
  <si>
    <t>consumo_reativo_excedente_fora_ponta</t>
  </si>
  <si>
    <t>demanda_reativa_excedente</t>
  </si>
  <si>
    <t>demanda_reativa_excedente_ponta</t>
  </si>
  <si>
    <t>demanda_reativa_excedente_fora_ponta</t>
  </si>
  <si>
    <t>fator_carga_ponta</t>
  </si>
  <si>
    <t>fator_carga_fora_ponta</t>
  </si>
  <si>
    <t>percentual_perda_transformacao</t>
  </si>
  <si>
    <t>creditos_acumulados_anterior</t>
  </si>
  <si>
    <t>creditos_acumulados</t>
  </si>
  <si>
    <t>movimentacao_creditos_mes</t>
  </si>
  <si>
    <t>tarifa_consumo_ponta</t>
  </si>
  <si>
    <t>tarifa_consumo_fora_ponta</t>
  </si>
  <si>
    <t>tarifa_consumo_intermediario</t>
  </si>
  <si>
    <t>tarifa_consumo_convencional</t>
  </si>
  <si>
    <t>tarifa_demanda_maxima</t>
  </si>
  <si>
    <t>tarifa_demanda_de_ultrapassagem</t>
  </si>
  <si>
    <t>tarifa_demanda_de_ultrapassagem_ponta</t>
  </si>
  <si>
    <t>tarifa_demanda_de_ultrapassagem_fora_ponta</t>
  </si>
  <si>
    <t>tarifa_demanda_maxima_ponta</t>
  </si>
  <si>
    <t>tarifa_demanda_maxima_fora_ponta</t>
  </si>
  <si>
    <t>tarifa_consumo_reativo_excedente</t>
  </si>
  <si>
    <t>tarifa_demanda_reativa_excedente</t>
  </si>
  <si>
    <t>tarifa_calculada_demanda_ultrapassada</t>
  </si>
  <si>
    <t>tarifa_calculada_demanda_de_ultrapassagem_ponta</t>
  </si>
  <si>
    <t>tarifa_calculada_demanda_de_ultrapassagem_fora_ponta</t>
  </si>
  <si>
    <t>tarifa_efetiva_de_consumo</t>
  </si>
  <si>
    <t>valor_total_icms</t>
  </si>
  <si>
    <t>base_calculo_icms</t>
  </si>
  <si>
    <t>aliquota_icms</t>
  </si>
  <si>
    <t>valor_total_pis</t>
  </si>
  <si>
    <t>base_calculo_pis</t>
  </si>
  <si>
    <t>aliquota_pis</t>
  </si>
  <si>
    <t>valor_total_cofins</t>
  </si>
  <si>
    <t>base_calculo_cofins</t>
  </si>
  <si>
    <t>aliquota_cofins</t>
  </si>
  <si>
    <t>numero_nota_fiscal</t>
  </si>
  <si>
    <t>url_nota_fiscal</t>
  </si>
  <si>
    <t>chave_acesso_nota_fiscal</t>
  </si>
  <si>
    <t>arquivo_anexo</t>
  </si>
  <si>
    <t>potencial_de_economia_mensal</t>
  </si>
  <si>
    <t>potencial_de_economia_anual</t>
  </si>
  <si>
    <t>potencial_de_economia_12_meses</t>
  </si>
  <si>
    <t>Dias  no mês, de utilização do Sistema</t>
  </si>
  <si>
    <r>
      <t xml:space="preserve">Dias </t>
    </r>
    <r>
      <rPr>
        <b/>
        <sz val="11"/>
        <color rgb="FFFF0000"/>
        <rFont val="Aptos Narrow"/>
        <family val="2"/>
      </rPr>
      <t>úteis</t>
    </r>
    <r>
      <rPr>
        <b/>
        <sz val="11"/>
        <color theme="1"/>
        <rFont val="Aptos Narrow"/>
        <family val="2"/>
        <charset val="1"/>
      </rPr>
      <t xml:space="preserve"> no mês, de utilização do Sistema</t>
    </r>
  </si>
  <si>
    <t xml:space="preserve">Horas por dia, de utilização do Sistema no horário de Ponta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</si>
</sst>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  <numFmt numFmtId="165" formatCode="_-&quot;R$ &quot;* #,##0.00_-;&quot;-R$ &quot;* #,##0.00_-;_-&quot;R$ &quot;* \-??_-;_-@_-"/>
    <numFmt numFmtId="166" formatCode="0.0000"/>
    <numFmt numFmtId="167" formatCode="d\-mmm\-yy"/>
    <numFmt numFmtId="168" formatCode="General_)"/>
    <numFmt numFmtId="169" formatCode="#,##0.00_);[Red]\(#,##0.00\)"/>
    <numFmt numFmtId="170" formatCode="_-* #,##0.00_-;\-* #,##0.00_-;_-* \-??_-;_-@_-"/>
    <numFmt numFmtId="171" formatCode="0.0"/>
    <numFmt numFmtId="172" formatCode="#,##0.0"/>
    <numFmt numFmtId="173" formatCode="#,##0.000"/>
    <numFmt numFmtId="174" formatCode="#,##0.00000"/>
    <numFmt numFmtId="175" formatCode="0.000%"/>
    <numFmt numFmtId="176" formatCode="0.0%"/>
    <numFmt numFmtId="177" formatCode="#,##0.0000"/>
    <numFmt numFmtId="178" formatCode="&quot;R$&quot;\ #,##0.00"/>
    <numFmt numFmtId="179" formatCode="0.00&quot; anos&quot;"/>
    <numFmt numFmtId="180" formatCode="[$-416]dd\ &quot;de&quot;\ mmmm\ &quot;de&quot;\ yyyy"/>
    <numFmt numFmtId="181" formatCode="_(* #,##0.00_);_(* \(#,##0.00\);_(* \-??_);_(@_)"/>
  </numFmts>
  <fonts count="60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"/>
    </font>
    <font>
      <b/>
      <sz val="14"/>
      <color rgb="FFFFFFFF"/>
      <name val="Times New Roman"/>
      <family val="1"/>
      <charset val="1"/>
    </font>
    <font>
      <sz val="12"/>
      <color rgb="FF000000"/>
      <name val="Aptos Narrow"/>
      <family val="2"/>
      <charset val="1"/>
    </font>
    <font>
      <b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Aptos Narrow"/>
      <family val="2"/>
      <charset val="1"/>
    </font>
    <font>
      <b/>
      <sz val="12"/>
      <name val="Verdana"/>
      <family val="2"/>
      <charset val="1"/>
    </font>
    <font>
      <i/>
      <sz val="12"/>
      <name val="Verdana"/>
      <family val="2"/>
      <charset val="1"/>
    </font>
    <font>
      <sz val="12"/>
      <name val="Verdana"/>
      <family val="2"/>
      <charset val="1"/>
    </font>
    <font>
      <sz val="11"/>
      <name val="Verdana"/>
      <family val="2"/>
      <charset val="1"/>
    </font>
    <font>
      <b/>
      <i/>
      <sz val="12"/>
      <name val="Verdana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0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2"/>
      <color theme="1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rgb="FF205768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1F4E79"/>
      <name val="Arial"/>
      <family val="2"/>
    </font>
    <font>
      <b/>
      <sz val="12"/>
      <color theme="1"/>
      <name val="Aptos Narrow"/>
      <family val="2"/>
    </font>
    <font>
      <b/>
      <sz val="14"/>
      <color theme="0"/>
      <name val="Times New Roman"/>
      <family val="1"/>
    </font>
    <font>
      <b/>
      <sz val="14"/>
      <color theme="0"/>
      <name val="Times New Roman"/>
      <family val="1"/>
      <charset val="1"/>
    </font>
    <font>
      <sz val="11"/>
      <color theme="0"/>
      <name val="Aptos Narrow"/>
      <family val="2"/>
      <charset val="1"/>
    </font>
    <font>
      <b/>
      <sz val="14"/>
      <color theme="1"/>
      <name val="Times New Roman"/>
      <family val="1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FF9900"/>
      <name val="Calibri"/>
      <family val="2"/>
      <charset val="1"/>
    </font>
    <font>
      <sz val="11"/>
      <color rgb="FF333399"/>
      <name val="Calibri"/>
      <family val="2"/>
      <charset val="1"/>
    </font>
    <font>
      <sz val="10"/>
      <name val="Arial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3366"/>
      <name val="Cambria"/>
      <family val="2"/>
      <charset val="1"/>
    </font>
    <font>
      <sz val="10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Times New Roman"/>
      <family val="1"/>
      <charset val="1"/>
    </font>
    <font>
      <b/>
      <sz val="12"/>
      <color theme="1"/>
      <name val="Times New Roman"/>
      <family val="1"/>
    </font>
    <font>
      <sz val="8"/>
      <name val="Aptos Narrow"/>
      <family val="2"/>
      <charset val="1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b/>
      <sz val="11"/>
      <color rgb="FFFF0000"/>
      <name val="Aptos Narrow"/>
      <family val="2"/>
    </font>
  </fonts>
  <fills count="52">
    <fill>
      <patternFill patternType="none"/>
    </fill>
    <fill>
      <patternFill patternType="gray125"/>
    </fill>
    <fill>
      <patternFill patternType="solid">
        <fgColor rgb="FF215C98"/>
        <bgColor rgb="FF156082"/>
      </patternFill>
    </fill>
    <fill>
      <patternFill patternType="solid">
        <fgColor rgb="FFCCFFCC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theme="4" tint="0.39988402966399123"/>
        <bgColor rgb="FF4E95D9"/>
      </patternFill>
    </fill>
    <fill>
      <patternFill patternType="solid">
        <fgColor theme="9" tint="0.59987182226020086"/>
        <bgColor rgb="FFD9F2D0"/>
      </patternFill>
    </fill>
    <fill>
      <patternFill patternType="solid">
        <fgColor theme="7" tint="0.59987182226020086"/>
        <bgColor rgb="FF83CBEB"/>
      </patternFill>
    </fill>
    <fill>
      <patternFill patternType="solid">
        <fgColor theme="4" tint="0.59987182226020086"/>
        <bgColor rgb="FF96DCF8"/>
      </patternFill>
    </fill>
    <fill>
      <patternFill patternType="solid">
        <fgColor theme="4" tint="0.79989013336588644"/>
        <bgColor rgb="FFCAEEFB"/>
      </patternFill>
    </fill>
    <fill>
      <patternFill patternType="solid">
        <fgColor theme="9" tint="0.79989013336588644"/>
        <bgColor rgb="FFCCFFCC"/>
      </patternFill>
    </fill>
    <fill>
      <patternFill patternType="solid">
        <fgColor theme="7" tint="0.79989013336588644"/>
        <bgColor rgb="FFC1E5F5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0F9ED5"/>
      </patternFill>
    </fill>
    <fill>
      <patternFill patternType="solid">
        <fgColor rgb="FF92D050"/>
        <bgColor rgb="FFB4E5A2"/>
      </patternFill>
    </fill>
    <fill>
      <patternFill patternType="solid">
        <fgColor theme="3" tint="0.49989318521683401"/>
        <bgColor rgb="FF46B1E1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C1E5F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</patternFill>
    </fill>
    <fill>
      <patternFill patternType="solid">
        <fgColor rgb="FF0061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rgb="FFE59ED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249977111117893"/>
        <bgColor rgb="FF15608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9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E59ED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9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theme="0" tint="-0.499984740745262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theme="0" tint="-0.499984740745262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36">
    <xf numFmtId="0" fontId="0" fillId="0" borderId="0"/>
    <xf numFmtId="0" fontId="4" fillId="0" borderId="0"/>
    <xf numFmtId="0" fontId="21" fillId="0" borderId="0"/>
    <xf numFmtId="9" fontId="22" fillId="0" borderId="0"/>
    <xf numFmtId="0" fontId="3" fillId="0" borderId="0"/>
    <xf numFmtId="44" fontId="22" fillId="0" borderId="0"/>
    <xf numFmtId="0" fontId="40" fillId="0" borderId="0"/>
    <xf numFmtId="43" fontId="40" fillId="0" borderId="0" applyFont="0" applyFill="0" applyBorder="0" applyAlignment="0" applyProtection="0"/>
    <xf numFmtId="0" fontId="42" fillId="0" borderId="0"/>
    <xf numFmtId="0" fontId="43" fillId="43" borderId="81" applyProtection="0"/>
    <xf numFmtId="0" fontId="44" fillId="44" borderId="81" applyProtection="0"/>
    <xf numFmtId="0" fontId="42" fillId="0" borderId="0"/>
    <xf numFmtId="0" fontId="45" fillId="0" borderId="0"/>
    <xf numFmtId="0" fontId="45" fillId="0" borderId="0"/>
    <xf numFmtId="0" fontId="42" fillId="0" borderId="0"/>
    <xf numFmtId="0" fontId="42" fillId="45" borderId="82" applyProtection="0"/>
    <xf numFmtId="9" fontId="42" fillId="0" borderId="0" applyBorder="0" applyProtection="0"/>
    <xf numFmtId="9" fontId="42" fillId="0" borderId="0" applyBorder="0" applyProtection="0"/>
    <xf numFmtId="9" fontId="42" fillId="0" borderId="0" applyBorder="0" applyProtection="0"/>
    <xf numFmtId="9" fontId="42" fillId="0" borderId="0" applyBorder="0" applyProtection="0"/>
    <xf numFmtId="0" fontId="46" fillId="43" borderId="83" applyProtection="0"/>
    <xf numFmtId="170" fontId="42" fillId="0" borderId="0" applyBorder="0" applyProtection="0"/>
    <xf numFmtId="0" fontId="47" fillId="0" borderId="0" applyBorder="0" applyProtection="0"/>
    <xf numFmtId="0" fontId="48" fillId="0" borderId="0" applyBorder="0" applyProtection="0"/>
    <xf numFmtId="0" fontId="49" fillId="0" borderId="84" applyProtection="0"/>
    <xf numFmtId="0" fontId="50" fillId="0" borderId="0" applyBorder="0" applyProtection="0"/>
    <xf numFmtId="181" fontId="42" fillId="0" borderId="0" applyBorder="0" applyProtection="0"/>
    <xf numFmtId="181" fontId="42" fillId="0" borderId="0" applyBorder="0" applyProtection="0"/>
    <xf numFmtId="170" fontId="42" fillId="0" borderId="0" applyBorder="0" applyProtection="0"/>
    <xf numFmtId="0" fontId="41" fillId="0" borderId="0"/>
    <xf numFmtId="0" fontId="51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41" fillId="0" borderId="0"/>
  </cellStyleXfs>
  <cellXfs count="511">
    <xf numFmtId="0" fontId="0" fillId="0" borderId="0" xfId="0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7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2" borderId="8" xfId="0" applyFont="1" applyFill="1" applyBorder="1"/>
    <xf numFmtId="0" fontId="5" fillId="0" borderId="0" xfId="0" applyFont="1"/>
    <xf numFmtId="0" fontId="6" fillId="0" borderId="0" xfId="0" applyFont="1"/>
    <xf numFmtId="0" fontId="6" fillId="0" borderId="2" xfId="0" applyFont="1" applyBorder="1" applyAlignment="1">
      <alignment horizontal="left"/>
    </xf>
    <xf numFmtId="2" fontId="6" fillId="0" borderId="5" xfId="0" applyNumberFormat="1" applyFont="1" applyBorder="1" applyAlignment="1">
      <alignment horizontal="left"/>
    </xf>
    <xf numFmtId="2" fontId="6" fillId="0" borderId="7" xfId="0" applyNumberFormat="1" applyFont="1" applyBorder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/>
    </xf>
    <xf numFmtId="0" fontId="8" fillId="0" borderId="6" xfId="0" applyFont="1" applyBorder="1" applyAlignment="1">
      <alignment wrapText="1"/>
    </xf>
    <xf numFmtId="0" fontId="8" fillId="0" borderId="6" xfId="0" applyFont="1" applyBorder="1"/>
    <xf numFmtId="0" fontId="4" fillId="0" borderId="0" xfId="0" applyFont="1"/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165" fontId="13" fillId="4" borderId="6" xfId="0" applyNumberFormat="1" applyFont="1" applyFill="1" applyBorder="1" applyAlignment="1">
      <alignment vertical="center"/>
    </xf>
    <xf numFmtId="10" fontId="13" fillId="4" borderId="6" xfId="0" applyNumberFormat="1" applyFont="1" applyFill="1" applyBorder="1" applyAlignment="1">
      <alignment vertical="center"/>
    </xf>
    <xf numFmtId="166" fontId="13" fillId="4" borderId="6" xfId="0" applyNumberFormat="1" applyFont="1" applyFill="1" applyBorder="1" applyAlignment="1">
      <alignment vertical="center"/>
    </xf>
    <xf numFmtId="0" fontId="12" fillId="0" borderId="6" xfId="0" applyFont="1" applyBorder="1" applyAlignment="1">
      <alignment vertical="center"/>
    </xf>
    <xf numFmtId="9" fontId="13" fillId="4" borderId="6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167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8" fontId="13" fillId="0" borderId="14" xfId="0" applyNumberFormat="1" applyFont="1" applyBorder="1" applyAlignment="1">
      <alignment horizontal="left" vertical="center"/>
    </xf>
    <xf numFmtId="169" fontId="13" fillId="0" borderId="14" xfId="0" applyNumberFormat="1" applyFont="1" applyBorder="1" applyAlignment="1">
      <alignment vertical="center"/>
    </xf>
    <xf numFmtId="168" fontId="13" fillId="0" borderId="0" xfId="0" applyNumberFormat="1" applyFont="1" applyAlignment="1">
      <alignment horizontal="left" vertical="center"/>
    </xf>
    <xf numFmtId="169" fontId="1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8" fontId="13" fillId="0" borderId="13" xfId="0" applyNumberFormat="1" applyFont="1" applyBorder="1" applyAlignment="1">
      <alignment horizontal="left" vertical="center"/>
    </xf>
    <xf numFmtId="169" fontId="13" fillId="0" borderId="13" xfId="0" applyNumberFormat="1" applyFont="1" applyBorder="1" applyAlignment="1">
      <alignment vertical="center"/>
    </xf>
    <xf numFmtId="0" fontId="15" fillId="0" borderId="0" xfId="0" applyFont="1" applyAlignment="1">
      <alignment horizontal="right" vertical="center"/>
    </xf>
    <xf numFmtId="10" fontId="15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169" fontId="15" fillId="0" borderId="0" xfId="0" applyNumberFormat="1" applyFont="1" applyAlignment="1">
      <alignment vertical="center"/>
    </xf>
    <xf numFmtId="170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1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16" fillId="8" borderId="18" xfId="0" applyFont="1" applyFill="1" applyBorder="1" applyAlignment="1">
      <alignment horizontal="center" vertical="center" wrapText="1"/>
    </xf>
    <xf numFmtId="49" fontId="16" fillId="8" borderId="19" xfId="0" applyNumberFormat="1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16" fillId="10" borderId="21" xfId="0" applyFont="1" applyFill="1" applyBorder="1" applyAlignment="1">
      <alignment horizontal="center" vertical="center" wrapText="1"/>
    </xf>
    <xf numFmtId="0" fontId="16" fillId="11" borderId="18" xfId="0" applyFont="1" applyFill="1" applyBorder="1" applyAlignment="1">
      <alignment horizontal="center" vertical="center" wrapText="1"/>
    </xf>
    <xf numFmtId="0" fontId="16" fillId="11" borderId="21" xfId="0" applyFont="1" applyFill="1" applyBorder="1" applyAlignment="1">
      <alignment horizontal="center" vertical="center" wrapText="1"/>
    </xf>
    <xf numFmtId="0" fontId="16" fillId="11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0" borderId="23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172" fontId="0" fillId="0" borderId="25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 wrapText="1"/>
    </xf>
    <xf numFmtId="0" fontId="16" fillId="14" borderId="6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vertical="center"/>
    </xf>
    <xf numFmtId="0" fontId="16" fillId="14" borderId="6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0" fillId="0" borderId="6" xfId="0" applyNumberFormat="1" applyBorder="1"/>
    <xf numFmtId="0" fontId="17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/>
    </xf>
    <xf numFmtId="9" fontId="0" fillId="0" borderId="6" xfId="0" applyNumberFormat="1" applyBorder="1"/>
    <xf numFmtId="0" fontId="16" fillId="8" borderId="6" xfId="0" applyFont="1" applyFill="1" applyBorder="1" applyAlignment="1">
      <alignment horizontal="center" vertical="center" wrapText="1"/>
    </xf>
    <xf numFmtId="49" fontId="16" fillId="8" borderId="6" xfId="0" applyNumberFormat="1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 wrapText="1"/>
    </xf>
    <xf numFmtId="0" fontId="16" fillId="10" borderId="38" xfId="0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left" vertical="center"/>
    </xf>
    <xf numFmtId="172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0" fontId="16" fillId="8" borderId="40" xfId="0" applyFont="1" applyFill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0" fontId="16" fillId="10" borderId="20" xfId="0" applyFont="1" applyFill="1" applyBorder="1" applyAlignment="1">
      <alignment horizontal="center" vertical="center" wrapText="1"/>
    </xf>
    <xf numFmtId="0" fontId="16" fillId="10" borderId="39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0" fontId="16" fillId="9" borderId="40" xfId="0" applyFont="1" applyFill="1" applyBorder="1" applyAlignment="1">
      <alignment horizontal="center" vertical="center" wrapText="1"/>
    </xf>
    <xf numFmtId="0" fontId="16" fillId="9" borderId="21" xfId="0" applyFont="1" applyFill="1" applyBorder="1" applyAlignment="1">
      <alignment horizontal="center" vertical="center" wrapText="1"/>
    </xf>
    <xf numFmtId="0" fontId="16" fillId="9" borderId="42" xfId="0" applyFont="1" applyFill="1" applyBorder="1" applyAlignment="1">
      <alignment horizontal="center" vertical="center" wrapText="1"/>
    </xf>
    <xf numFmtId="4" fontId="0" fillId="0" borderId="22" xfId="0" applyNumberFormat="1" applyBorder="1" applyAlignment="1">
      <alignment horizontal="center" vertical="center"/>
    </xf>
    <xf numFmtId="173" fontId="0" fillId="0" borderId="25" xfId="0" applyNumberFormat="1" applyBorder="1" applyAlignment="1">
      <alignment horizontal="center" vertical="center"/>
    </xf>
    <xf numFmtId="4" fontId="0" fillId="0" borderId="43" xfId="0" applyNumberFormat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 wrapText="1"/>
    </xf>
    <xf numFmtId="174" fontId="16" fillId="10" borderId="40" xfId="0" applyNumberFormat="1" applyFont="1" applyFill="1" applyBorder="1" applyAlignment="1">
      <alignment horizontal="center" vertical="center" wrapText="1"/>
    </xf>
    <xf numFmtId="0" fontId="16" fillId="11" borderId="20" xfId="0" applyFont="1" applyFill="1" applyBorder="1" applyAlignment="1">
      <alignment horizontal="center" vertical="center" wrapText="1"/>
    </xf>
    <xf numFmtId="0" fontId="16" fillId="11" borderId="41" xfId="0" applyFont="1" applyFill="1" applyBorder="1" applyAlignment="1">
      <alignment horizontal="center" vertical="center" wrapText="1"/>
    </xf>
    <xf numFmtId="3" fontId="0" fillId="0" borderId="23" xfId="0" applyNumberFormat="1" applyBorder="1" applyAlignment="1">
      <alignment horizontal="center" vertical="center" wrapText="1"/>
    </xf>
    <xf numFmtId="3" fontId="0" fillId="0" borderId="44" xfId="0" applyNumberFormat="1" applyBorder="1" applyAlignment="1">
      <alignment horizontal="center" vertical="center"/>
    </xf>
    <xf numFmtId="4" fontId="0" fillId="0" borderId="45" xfId="0" applyNumberFormat="1" applyBorder="1" applyAlignment="1">
      <alignment horizontal="center" vertical="center"/>
    </xf>
    <xf numFmtId="172" fontId="0" fillId="0" borderId="46" xfId="0" applyNumberFormat="1" applyBorder="1" applyAlignment="1">
      <alignment horizontal="center" vertical="center"/>
    </xf>
    <xf numFmtId="4" fontId="0" fillId="0" borderId="46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174" fontId="0" fillId="0" borderId="25" xfId="0" applyNumberFormat="1" applyBorder="1" applyAlignment="1">
      <alignment horizontal="center" vertical="center"/>
    </xf>
    <xf numFmtId="174" fontId="0" fillId="0" borderId="44" xfId="0" applyNumberFormat="1" applyBorder="1" applyAlignment="1">
      <alignment horizontal="center" vertical="center"/>
    </xf>
    <xf numFmtId="174" fontId="0" fillId="0" borderId="26" xfId="0" applyNumberFormat="1" applyBorder="1" applyAlignment="1">
      <alignment horizontal="center" vertical="center"/>
    </xf>
    <xf numFmtId="174" fontId="0" fillId="0" borderId="24" xfId="0" applyNumberFormat="1" applyBorder="1" applyAlignment="1">
      <alignment horizontal="center" vertical="center"/>
    </xf>
    <xf numFmtId="174" fontId="0" fillId="0" borderId="47" xfId="0" applyNumberFormat="1" applyBorder="1" applyAlignment="1">
      <alignment horizontal="center" vertical="center"/>
    </xf>
    <xf numFmtId="0" fontId="16" fillId="10" borderId="40" xfId="0" applyFont="1" applyFill="1" applyBorder="1" applyAlignment="1">
      <alignment horizontal="center" vertical="center" wrapText="1"/>
    </xf>
    <xf numFmtId="0" fontId="20" fillId="5" borderId="6" xfId="0" applyFont="1" applyFill="1" applyBorder="1"/>
    <xf numFmtId="0" fontId="0" fillId="0" borderId="0" xfId="0" applyAlignment="1">
      <alignment horizontal="left" wrapText="1"/>
    </xf>
    <xf numFmtId="0" fontId="19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/>
    <xf numFmtId="0" fontId="0" fillId="0" borderId="0" xfId="0" applyAlignment="1">
      <alignment horizontal="left"/>
    </xf>
    <xf numFmtId="0" fontId="0" fillId="16" borderId="0" xfId="0" applyFill="1"/>
    <xf numFmtId="4" fontId="0" fillId="17" borderId="6" xfId="0" applyNumberFormat="1" applyFill="1" applyBorder="1" applyAlignment="1">
      <alignment horizontal="center" vertical="center"/>
    </xf>
    <xf numFmtId="4" fontId="0" fillId="18" borderId="6" xfId="0" applyNumberFormat="1" applyFill="1" applyBorder="1" applyAlignment="1">
      <alignment horizontal="center" vertical="center"/>
    </xf>
    <xf numFmtId="3" fontId="0" fillId="18" borderId="6" xfId="0" applyNumberFormat="1" applyFill="1" applyBorder="1" applyAlignment="1">
      <alignment horizontal="center" vertical="center"/>
    </xf>
    <xf numFmtId="173" fontId="0" fillId="18" borderId="6" xfId="0" applyNumberFormat="1" applyFill="1" applyBorder="1" applyAlignment="1">
      <alignment horizontal="center" vertical="center"/>
    </xf>
    <xf numFmtId="173" fontId="0" fillId="19" borderId="6" xfId="0" applyNumberForma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19" borderId="6" xfId="0" applyFill="1" applyBorder="1" applyAlignment="1">
      <alignment vertical="center"/>
    </xf>
    <xf numFmtId="3" fontId="24" fillId="19" borderId="6" xfId="0" applyNumberFormat="1" applyFont="1" applyFill="1" applyBorder="1" applyAlignment="1">
      <alignment horizontal="center" vertical="center"/>
    </xf>
    <xf numFmtId="4" fontId="0" fillId="19" borderId="6" xfId="0" applyNumberFormat="1" applyFill="1" applyBorder="1" applyAlignment="1">
      <alignment vertical="center"/>
    </xf>
    <xf numFmtId="4" fontId="24" fillId="19" borderId="6" xfId="0" applyNumberFormat="1" applyFont="1" applyFill="1" applyBorder="1" applyAlignment="1">
      <alignment horizontal="center" vertical="center"/>
    </xf>
    <xf numFmtId="173" fontId="24" fillId="19" borderId="6" xfId="0" applyNumberFormat="1" applyFont="1" applyFill="1" applyBorder="1" applyAlignment="1">
      <alignment horizontal="center" vertical="center"/>
    </xf>
    <xf numFmtId="175" fontId="24" fillId="19" borderId="6" xfId="3" applyNumberFormat="1" applyFont="1" applyFill="1" applyBorder="1" applyAlignment="1">
      <alignment horizontal="center" vertical="center"/>
    </xf>
    <xf numFmtId="4" fontId="0" fillId="0" borderId="23" xfId="0" applyNumberFormat="1" applyBorder="1" applyAlignment="1">
      <alignment horizontal="left" vertical="center" wrapText="1"/>
    </xf>
    <xf numFmtId="9" fontId="0" fillId="0" borderId="25" xfId="3" applyFont="1" applyBorder="1" applyAlignment="1">
      <alignment horizontal="center" vertical="center"/>
    </xf>
    <xf numFmtId="173" fontId="0" fillId="17" borderId="25" xfId="0" applyNumberFormat="1" applyFill="1" applyBorder="1" applyAlignment="1">
      <alignment horizontal="center" vertical="center"/>
    </xf>
    <xf numFmtId="3" fontId="0" fillId="17" borderId="25" xfId="0" applyNumberFormat="1" applyFill="1" applyBorder="1" applyAlignment="1">
      <alignment horizontal="center" vertical="center"/>
    </xf>
    <xf numFmtId="4" fontId="0" fillId="17" borderId="25" xfId="0" applyNumberFormat="1" applyFill="1" applyBorder="1" applyAlignment="1">
      <alignment horizontal="center" vertical="center"/>
    </xf>
    <xf numFmtId="4" fontId="0" fillId="18" borderId="25" xfId="0" applyNumberFormat="1" applyFill="1" applyBorder="1" applyAlignment="1">
      <alignment horizontal="center" vertical="center"/>
    </xf>
    <xf numFmtId="3" fontId="0" fillId="18" borderId="25" xfId="0" applyNumberFormat="1" applyFill="1" applyBorder="1" applyAlignment="1">
      <alignment horizontal="center" vertical="center"/>
    </xf>
    <xf numFmtId="4" fontId="0" fillId="19" borderId="27" xfId="0" applyNumberFormat="1" applyFill="1" applyBorder="1" applyAlignment="1">
      <alignment horizontal="center" vertical="center"/>
    </xf>
    <xf numFmtId="4" fontId="0" fillId="19" borderId="28" xfId="0" applyNumberFormat="1" applyFill="1" applyBorder="1" applyAlignment="1">
      <alignment horizontal="center" vertical="center"/>
    </xf>
    <xf numFmtId="10" fontId="0" fillId="0" borderId="25" xfId="3" applyNumberFormat="1" applyFont="1" applyBorder="1" applyAlignment="1">
      <alignment horizontal="center" vertical="center"/>
    </xf>
    <xf numFmtId="10" fontId="23" fillId="0" borderId="25" xfId="3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4" fontId="0" fillId="0" borderId="49" xfId="0" applyNumberFormat="1" applyBorder="1" applyAlignment="1">
      <alignment horizontal="left" vertical="center" wrapText="1"/>
    </xf>
    <xf numFmtId="4" fontId="0" fillId="0" borderId="49" xfId="0" applyNumberFormat="1" applyBorder="1" applyAlignment="1">
      <alignment horizontal="center" vertical="center"/>
    </xf>
    <xf numFmtId="9" fontId="0" fillId="0" borderId="50" xfId="3" applyFont="1" applyBorder="1" applyAlignment="1">
      <alignment horizontal="center" vertical="center"/>
    </xf>
    <xf numFmtId="10" fontId="0" fillId="0" borderId="50" xfId="3" applyNumberFormat="1" applyFont="1" applyBorder="1" applyAlignment="1">
      <alignment horizontal="center" vertical="center"/>
    </xf>
    <xf numFmtId="4" fontId="0" fillId="0" borderId="50" xfId="0" applyNumberFormat="1" applyBorder="1" applyAlignment="1">
      <alignment horizontal="center" vertical="center"/>
    </xf>
    <xf numFmtId="173" fontId="0" fillId="17" borderId="50" xfId="0" applyNumberFormat="1" applyFill="1" applyBorder="1" applyAlignment="1">
      <alignment horizontal="center" vertical="center"/>
    </xf>
    <xf numFmtId="3" fontId="0" fillId="0" borderId="50" xfId="0" applyNumberFormat="1" applyBorder="1" applyAlignment="1">
      <alignment horizontal="center" vertical="center"/>
    </xf>
    <xf numFmtId="3" fontId="0" fillId="17" borderId="50" xfId="0" applyNumberFormat="1" applyFill="1" applyBorder="1" applyAlignment="1">
      <alignment horizontal="center" vertical="center"/>
    </xf>
    <xf numFmtId="4" fontId="0" fillId="17" borderId="50" xfId="0" applyNumberFormat="1" applyFill="1" applyBorder="1" applyAlignment="1">
      <alignment horizontal="center" vertical="center"/>
    </xf>
    <xf numFmtId="4" fontId="0" fillId="18" borderId="50" xfId="0" applyNumberFormat="1" applyFill="1" applyBorder="1" applyAlignment="1">
      <alignment horizontal="center" vertical="center"/>
    </xf>
    <xf numFmtId="4" fontId="0" fillId="19" borderId="48" xfId="0" applyNumberFormat="1" applyFill="1" applyBorder="1" applyAlignment="1">
      <alignment horizontal="center" vertical="center"/>
    </xf>
    <xf numFmtId="4" fontId="0" fillId="19" borderId="0" xfId="0" applyNumberFormat="1" applyFill="1" applyAlignment="1">
      <alignment horizontal="center" vertical="center"/>
    </xf>
    <xf numFmtId="49" fontId="0" fillId="19" borderId="6" xfId="0" applyNumberFormat="1" applyFill="1" applyBorder="1" applyAlignment="1">
      <alignment vertical="center"/>
    </xf>
    <xf numFmtId="0" fontId="24" fillId="19" borderId="6" xfId="0" applyFont="1" applyFill="1" applyBorder="1" applyAlignment="1">
      <alignment horizontal="center" vertical="center"/>
    </xf>
    <xf numFmtId="4" fontId="0" fillId="19" borderId="26" xfId="0" applyNumberFormat="1" applyFill="1" applyBorder="1" applyAlignment="1">
      <alignment horizontal="center" vertical="center"/>
    </xf>
    <xf numFmtId="4" fontId="0" fillId="19" borderId="30" xfId="0" applyNumberFormat="1" applyFill="1" applyBorder="1" applyAlignment="1">
      <alignment horizontal="center" vertical="center"/>
    </xf>
    <xf numFmtId="4" fontId="0" fillId="19" borderId="31" xfId="0" applyNumberFormat="1" applyFill="1" applyBorder="1" applyAlignment="1">
      <alignment horizontal="center" vertical="center"/>
    </xf>
    <xf numFmtId="4" fontId="0" fillId="19" borderId="52" xfId="0" applyNumberFormat="1" applyFill="1" applyBorder="1" applyAlignment="1">
      <alignment horizontal="center" vertical="center"/>
    </xf>
    <xf numFmtId="4" fontId="0" fillId="19" borderId="53" xfId="0" applyNumberFormat="1" applyFill="1" applyBorder="1" applyAlignment="1">
      <alignment horizontal="center" vertical="center"/>
    </xf>
    <xf numFmtId="4" fontId="0" fillId="19" borderId="54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0" fillId="0" borderId="3" xfId="0" applyBorder="1"/>
    <xf numFmtId="0" fontId="8" fillId="0" borderId="3" xfId="0" applyFont="1" applyBorder="1" applyAlignment="1">
      <alignment horizontal="center" vertical="center"/>
    </xf>
    <xf numFmtId="0" fontId="0" fillId="0" borderId="2" xfId="0" applyBorder="1"/>
    <xf numFmtId="0" fontId="0" fillId="0" borderId="9" xfId="0" applyBorder="1"/>
    <xf numFmtId="0" fontId="8" fillId="0" borderId="9" xfId="0" applyFont="1" applyBorder="1" applyAlignment="1">
      <alignment horizontal="center" vertical="center"/>
    </xf>
    <xf numFmtId="0" fontId="0" fillId="0" borderId="7" xfId="0" applyBorder="1"/>
    <xf numFmtId="4" fontId="24" fillId="19" borderId="23" xfId="0" applyNumberFormat="1" applyFont="1" applyFill="1" applyBorder="1" applyAlignment="1">
      <alignment horizontal="center" vertical="center"/>
    </xf>
    <xf numFmtId="4" fontId="24" fillId="19" borderId="3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3" fontId="0" fillId="17" borderId="6" xfId="0" applyNumberFormat="1" applyFill="1" applyBorder="1" applyAlignment="1">
      <alignment horizontal="center" vertical="center"/>
    </xf>
    <xf numFmtId="4" fontId="0" fillId="20" borderId="6" xfId="0" applyNumberFormat="1" applyFill="1" applyBorder="1" applyAlignment="1">
      <alignment horizontal="center" vertical="center"/>
    </xf>
    <xf numFmtId="171" fontId="0" fillId="20" borderId="6" xfId="0" applyNumberFormat="1" applyFill="1" applyBorder="1" applyAlignment="1">
      <alignment horizontal="center" vertical="center"/>
    </xf>
    <xf numFmtId="3" fontId="0" fillId="20" borderId="6" xfId="0" applyNumberFormat="1" applyFill="1" applyBorder="1" applyAlignment="1">
      <alignment horizontal="center" vertical="center"/>
    </xf>
    <xf numFmtId="173" fontId="0" fillId="20" borderId="6" xfId="0" applyNumberFormat="1" applyFill="1" applyBorder="1" applyAlignment="1">
      <alignment horizontal="center" vertical="center"/>
    </xf>
    <xf numFmtId="4" fontId="0" fillId="19" borderId="6" xfId="0" applyNumberFormat="1" applyFill="1" applyBorder="1" applyAlignment="1">
      <alignment horizontal="center" vertical="center"/>
    </xf>
    <xf numFmtId="49" fontId="0" fillId="19" borderId="27" xfId="0" applyNumberFormat="1" applyFill="1" applyBorder="1" applyAlignment="1">
      <alignment horizontal="center" vertical="center"/>
    </xf>
    <xf numFmtId="49" fontId="0" fillId="19" borderId="28" xfId="0" applyNumberFormat="1" applyFill="1" applyBorder="1" applyAlignment="1">
      <alignment horizontal="center" vertical="center"/>
    </xf>
    <xf numFmtId="49" fontId="0" fillId="19" borderId="22" xfId="0" applyNumberFormat="1" applyFill="1" applyBorder="1" applyAlignment="1">
      <alignment horizontal="center" vertical="center"/>
    </xf>
    <xf numFmtId="4" fontId="0" fillId="19" borderId="23" xfId="0" applyNumberFormat="1" applyFill="1" applyBorder="1" applyAlignment="1">
      <alignment horizontal="center" vertical="center"/>
    </xf>
    <xf numFmtId="4" fontId="0" fillId="19" borderId="25" xfId="0" applyNumberFormat="1" applyFill="1" applyBorder="1" applyAlignment="1">
      <alignment horizontal="center" vertical="center"/>
    </xf>
    <xf numFmtId="4" fontId="24" fillId="19" borderId="25" xfId="0" applyNumberFormat="1" applyFont="1" applyFill="1" applyBorder="1" applyAlignment="1">
      <alignment horizontal="center" vertical="center"/>
    </xf>
    <xf numFmtId="4" fontId="0" fillId="0" borderId="0" xfId="0" applyNumberFormat="1"/>
    <xf numFmtId="177" fontId="0" fillId="0" borderId="0" xfId="0" applyNumberFormat="1"/>
    <xf numFmtId="0" fontId="26" fillId="22" borderId="0" xfId="0" applyFont="1" applyFill="1" applyAlignment="1">
      <alignment horizontal="center" vertical="center" wrapText="1"/>
    </xf>
    <xf numFmtId="0" fontId="29" fillId="24" borderId="4" xfId="4" applyFont="1" applyFill="1" applyBorder="1" applyAlignment="1">
      <alignment horizontal="left" vertical="center" wrapText="1" indent="1"/>
    </xf>
    <xf numFmtId="0" fontId="29" fillId="24" borderId="5" xfId="4" applyFont="1" applyFill="1" applyBorder="1" applyAlignment="1">
      <alignment horizontal="center" vertical="center" wrapText="1"/>
    </xf>
    <xf numFmtId="0" fontId="29" fillId="24" borderId="55" xfId="4" applyFont="1" applyFill="1" applyBorder="1" applyAlignment="1">
      <alignment horizontal="left" vertical="center" wrapText="1" indent="1"/>
    </xf>
    <xf numFmtId="8" fontId="29" fillId="24" borderId="56" xfId="4" applyNumberFormat="1" applyFont="1" applyFill="1" applyBorder="1" applyAlignment="1">
      <alignment horizontal="center" vertical="center" wrapText="1"/>
    </xf>
    <xf numFmtId="0" fontId="29" fillId="24" borderId="60" xfId="4" applyFont="1" applyFill="1" applyBorder="1" applyAlignment="1">
      <alignment horizontal="left" vertical="center" wrapText="1" indent="1"/>
    </xf>
    <xf numFmtId="0" fontId="29" fillId="24" borderId="61" xfId="4" applyFont="1" applyFill="1" applyBorder="1" applyAlignment="1">
      <alignment horizontal="center" vertical="center" wrapText="1"/>
    </xf>
    <xf numFmtId="10" fontId="29" fillId="24" borderId="5" xfId="4" applyNumberFormat="1" applyFont="1" applyFill="1" applyBorder="1" applyAlignment="1">
      <alignment horizontal="center" vertical="center" wrapText="1"/>
    </xf>
    <xf numFmtId="8" fontId="29" fillId="24" borderId="5" xfId="4" applyNumberFormat="1" applyFont="1" applyFill="1" applyBorder="1" applyAlignment="1">
      <alignment horizontal="center" vertical="center" wrapText="1"/>
    </xf>
    <xf numFmtId="0" fontId="29" fillId="24" borderId="8" xfId="4" applyFont="1" applyFill="1" applyBorder="1" applyAlignment="1">
      <alignment horizontal="left" vertical="center" wrapText="1" indent="1"/>
    </xf>
    <xf numFmtId="8" fontId="29" fillId="24" borderId="7" xfId="4" applyNumberFormat="1" applyFont="1" applyFill="1" applyBorder="1" applyAlignment="1">
      <alignment horizontal="center" vertical="center" wrapText="1"/>
    </xf>
    <xf numFmtId="0" fontId="26" fillId="0" borderId="0" xfId="0" applyFont="1"/>
    <xf numFmtId="0" fontId="27" fillId="0" borderId="0" xfId="4" applyFont="1"/>
    <xf numFmtId="0" fontId="13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32" fillId="27" borderId="6" xfId="0" applyFont="1" applyFill="1" applyBorder="1" applyAlignment="1">
      <alignment horizontal="left" vertical="center" wrapText="1" indent="1"/>
    </xf>
    <xf numFmtId="169" fontId="15" fillId="0" borderId="6" xfId="0" applyNumberFormat="1" applyFont="1" applyBorder="1" applyAlignment="1">
      <alignment horizontal="right" vertical="center"/>
    </xf>
    <xf numFmtId="169" fontId="14" fillId="0" borderId="6" xfId="0" applyNumberFormat="1" applyFont="1" applyBorder="1" applyAlignment="1">
      <alignment vertical="center"/>
    </xf>
    <xf numFmtId="169" fontId="13" fillId="0" borderId="6" xfId="0" applyNumberFormat="1" applyFont="1" applyBorder="1" applyAlignment="1">
      <alignment vertical="center"/>
    </xf>
    <xf numFmtId="10" fontId="13" fillId="0" borderId="6" xfId="0" applyNumberFormat="1" applyFont="1" applyBorder="1" applyAlignment="1">
      <alignment vertical="center"/>
    </xf>
    <xf numFmtId="10" fontId="15" fillId="0" borderId="6" xfId="0" applyNumberFormat="1" applyFont="1" applyBorder="1" applyAlignment="1">
      <alignment horizontal="right" vertical="center"/>
    </xf>
    <xf numFmtId="2" fontId="13" fillId="0" borderId="6" xfId="0" applyNumberFormat="1" applyFont="1" applyBorder="1" applyAlignment="1">
      <alignment vertical="center"/>
    </xf>
    <xf numFmtId="2" fontId="15" fillId="0" borderId="6" xfId="0" applyNumberFormat="1" applyFont="1" applyBorder="1" applyAlignment="1">
      <alignment horizontal="right" vertical="center"/>
    </xf>
    <xf numFmtId="0" fontId="29" fillId="0" borderId="0" xfId="4" applyFont="1" applyAlignment="1">
      <alignment horizontal="center" vertical="center" wrapText="1"/>
    </xf>
    <xf numFmtId="0" fontId="29" fillId="0" borderId="0" xfId="4" applyFont="1" applyAlignment="1">
      <alignment horizontal="left" vertical="center" wrapText="1" indent="1"/>
    </xf>
    <xf numFmtId="8" fontId="29" fillId="0" borderId="0" xfId="4" applyNumberFormat="1" applyFont="1" applyAlignment="1">
      <alignment horizontal="center" vertical="center" wrapText="1"/>
    </xf>
    <xf numFmtId="10" fontId="29" fillId="0" borderId="0" xfId="4" applyNumberFormat="1" applyFont="1" applyAlignment="1">
      <alignment horizontal="center" vertical="center" wrapText="1"/>
    </xf>
    <xf numFmtId="4" fontId="29" fillId="24" borderId="5" xfId="4" applyNumberFormat="1" applyFont="1" applyFill="1" applyBorder="1" applyAlignment="1">
      <alignment horizontal="center" vertical="center" wrapText="1"/>
    </xf>
    <xf numFmtId="4" fontId="29" fillId="24" borderId="61" xfId="4" applyNumberFormat="1" applyFont="1" applyFill="1" applyBorder="1" applyAlignment="1">
      <alignment horizontal="center" vertical="center" wrapText="1"/>
    </xf>
    <xf numFmtId="43" fontId="0" fillId="0" borderId="0" xfId="0" applyNumberFormat="1"/>
    <xf numFmtId="43" fontId="13" fillId="0" borderId="0" xfId="0" applyNumberFormat="1" applyFont="1" applyAlignment="1">
      <alignment vertical="center"/>
    </xf>
    <xf numFmtId="178" fontId="29" fillId="24" borderId="7" xfId="5" applyNumberFormat="1" applyFont="1" applyFill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168" fontId="13" fillId="28" borderId="0" xfId="0" applyNumberFormat="1" applyFont="1" applyFill="1" applyAlignment="1">
      <alignment horizontal="left" vertical="center"/>
    </xf>
    <xf numFmtId="178" fontId="13" fillId="4" borderId="6" xfId="0" applyNumberFormat="1" applyFont="1" applyFill="1" applyBorder="1" applyAlignment="1">
      <alignment vertical="center"/>
    </xf>
    <xf numFmtId="4" fontId="13" fillId="4" borderId="6" xfId="0" applyNumberFormat="1" applyFont="1" applyFill="1" applyBorder="1" applyAlignment="1">
      <alignment vertical="center"/>
    </xf>
    <xf numFmtId="0" fontId="34" fillId="0" borderId="0" xfId="0" applyFont="1"/>
    <xf numFmtId="0" fontId="0" fillId="30" borderId="0" xfId="0" applyFill="1"/>
    <xf numFmtId="0" fontId="0" fillId="30" borderId="0" xfId="0" applyFill="1" applyAlignment="1">
      <alignment horizontal="left"/>
    </xf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/>
    <xf numFmtId="0" fontId="0" fillId="32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0" fontId="0" fillId="35" borderId="0" xfId="0" applyFill="1"/>
    <xf numFmtId="0" fontId="0" fillId="35" borderId="0" xfId="0" applyFill="1" applyAlignment="1">
      <alignment horizontal="left"/>
    </xf>
    <xf numFmtId="0" fontId="35" fillId="36" borderId="69" xfId="0" applyFont="1" applyFill="1" applyBorder="1"/>
    <xf numFmtId="0" fontId="10" fillId="37" borderId="7" xfId="0" applyFont="1" applyFill="1" applyBorder="1" applyAlignment="1">
      <alignment horizontal="left"/>
    </xf>
    <xf numFmtId="0" fontId="0" fillId="33" borderId="0" xfId="0" applyFill="1" applyAlignment="1">
      <alignment horizontal="left" vertical="center"/>
    </xf>
    <xf numFmtId="180" fontId="0" fillId="33" borderId="0" xfId="0" applyNumberFormat="1" applyFill="1" applyAlignment="1">
      <alignment horizontal="left" vertical="center"/>
    </xf>
    <xf numFmtId="14" fontId="0" fillId="33" borderId="0" xfId="0" applyNumberFormat="1" applyFill="1" applyAlignment="1">
      <alignment horizontal="left" vertical="center"/>
    </xf>
    <xf numFmtId="0" fontId="16" fillId="33" borderId="0" xfId="0" applyFont="1" applyFill="1" applyAlignment="1">
      <alignment horizontal="left" vertical="center"/>
    </xf>
    <xf numFmtId="4" fontId="0" fillId="33" borderId="0" xfId="0" applyNumberFormat="1" applyFill="1" applyAlignment="1">
      <alignment horizontal="left" vertical="center"/>
    </xf>
    <xf numFmtId="2" fontId="0" fillId="33" borderId="0" xfId="0" applyNumberFormat="1" applyFill="1" applyAlignment="1">
      <alignment horizontal="left" vertical="center"/>
    </xf>
    <xf numFmtId="0" fontId="0" fillId="40" borderId="0" xfId="0" applyFill="1"/>
    <xf numFmtId="0" fontId="0" fillId="22" borderId="73" xfId="0" applyFill="1" applyBorder="1"/>
    <xf numFmtId="0" fontId="0" fillId="22" borderId="74" xfId="0" applyFill="1" applyBorder="1" applyAlignment="1">
      <alignment horizontal="left"/>
    </xf>
    <xf numFmtId="0" fontId="19" fillId="0" borderId="74" xfId="0" applyFont="1" applyBorder="1"/>
    <xf numFmtId="0" fontId="0" fillId="22" borderId="76" xfId="0" applyFill="1" applyBorder="1"/>
    <xf numFmtId="0" fontId="19" fillId="0" borderId="79" xfId="0" applyFont="1" applyBorder="1"/>
    <xf numFmtId="0" fontId="0" fillId="0" borderId="79" xfId="0" applyBorder="1" applyAlignment="1">
      <alignment horizontal="left"/>
    </xf>
    <xf numFmtId="0" fontId="0" fillId="41" borderId="0" xfId="0" applyFill="1"/>
    <xf numFmtId="0" fontId="0" fillId="42" borderId="0" xfId="0" applyFill="1"/>
    <xf numFmtId="0" fontId="6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0" fillId="0" borderId="69" xfId="0" applyBorder="1" applyAlignment="1">
      <alignment horizontal="left"/>
    </xf>
    <xf numFmtId="0" fontId="39" fillId="0" borderId="0" xfId="0" applyFont="1"/>
    <xf numFmtId="0" fontId="52" fillId="0" borderId="2" xfId="0" applyFont="1" applyBorder="1"/>
    <xf numFmtId="0" fontId="52" fillId="0" borderId="6" xfId="6" applyFont="1" applyBorder="1" applyAlignment="1">
      <alignment horizontal="left" vertical="center"/>
    </xf>
    <xf numFmtId="14" fontId="52" fillId="16" borderId="7" xfId="0" applyNumberFormat="1" applyFont="1" applyFill="1" applyBorder="1" applyAlignment="1">
      <alignment horizontal="left"/>
    </xf>
    <xf numFmtId="14" fontId="53" fillId="0" borderId="7" xfId="2" applyNumberFormat="1" applyFont="1" applyBorder="1" applyAlignment="1">
      <alignment horizontal="left"/>
    </xf>
    <xf numFmtId="0" fontId="52" fillId="0" borderId="0" xfId="0" applyFont="1"/>
    <xf numFmtId="0" fontId="52" fillId="16" borderId="5" xfId="0" applyFont="1" applyFill="1" applyBorder="1"/>
    <xf numFmtId="0" fontId="52" fillId="0" borderId="85" xfId="6" applyFont="1" applyBorder="1" applyAlignment="1">
      <alignment vertical="center"/>
    </xf>
    <xf numFmtId="0" fontId="52" fillId="0" borderId="5" xfId="0" applyFont="1" applyBorder="1"/>
    <xf numFmtId="0" fontId="16" fillId="8" borderId="33" xfId="0" applyFont="1" applyFill="1" applyBorder="1" applyAlignment="1">
      <alignment horizontal="center" vertical="center" wrapText="1"/>
    </xf>
    <xf numFmtId="0" fontId="16" fillId="9" borderId="36" xfId="0" applyFont="1" applyFill="1" applyBorder="1" applyAlignment="1">
      <alignment horizontal="center" vertical="center" wrapText="1"/>
    </xf>
    <xf numFmtId="0" fontId="16" fillId="9" borderId="35" xfId="0" applyFont="1" applyFill="1" applyBorder="1" applyAlignment="1">
      <alignment horizontal="center" vertical="center" wrapText="1"/>
    </xf>
    <xf numFmtId="0" fontId="0" fillId="28" borderId="0" xfId="0" applyFill="1"/>
    <xf numFmtId="0" fontId="0" fillId="46" borderId="0" xfId="0" applyFill="1"/>
    <xf numFmtId="0" fontId="0" fillId="47" borderId="0" xfId="0" applyFill="1"/>
    <xf numFmtId="4" fontId="0" fillId="48" borderId="6" xfId="0" applyNumberFormat="1" applyFill="1" applyBorder="1" applyAlignment="1">
      <alignment horizontal="center" vertical="center"/>
    </xf>
    <xf numFmtId="3" fontId="0" fillId="17" borderId="6" xfId="0" applyNumberFormat="1" applyFill="1" applyBorder="1" applyAlignment="1">
      <alignment horizontal="center" vertical="center"/>
    </xf>
    <xf numFmtId="4" fontId="0" fillId="17" borderId="23" xfId="0" applyNumberFormat="1" applyFill="1" applyBorder="1" applyAlignment="1">
      <alignment horizontal="center" vertical="center"/>
    </xf>
    <xf numFmtId="0" fontId="16" fillId="8" borderId="86" xfId="0" applyFont="1" applyFill="1" applyBorder="1" applyAlignment="1">
      <alignment horizontal="center" vertical="center" wrapText="1"/>
    </xf>
    <xf numFmtId="49" fontId="16" fillId="8" borderId="34" xfId="0" applyNumberFormat="1" applyFont="1" applyFill="1" applyBorder="1" applyAlignment="1">
      <alignment horizontal="center" vertical="center"/>
    </xf>
    <xf numFmtId="0" fontId="16" fillId="9" borderId="33" xfId="0" applyFont="1" applyFill="1" applyBorder="1" applyAlignment="1">
      <alignment horizontal="center" vertical="center" wrapText="1"/>
    </xf>
    <xf numFmtId="174" fontId="16" fillId="9" borderId="86" xfId="0" applyNumberFormat="1" applyFont="1" applyFill="1" applyBorder="1" applyAlignment="1">
      <alignment horizontal="center" vertical="center" wrapText="1"/>
    </xf>
    <xf numFmtId="0" fontId="0" fillId="48" borderId="6" xfId="0" applyFill="1" applyBorder="1" applyAlignment="1">
      <alignment horizontal="center" vertical="center"/>
    </xf>
    <xf numFmtId="4" fontId="0" fillId="0" borderId="6" xfId="0" applyNumberFormat="1" applyBorder="1" applyAlignment="1">
      <alignment horizontal="left" vertical="center"/>
    </xf>
    <xf numFmtId="0" fontId="36" fillId="38" borderId="1" xfId="0" applyFont="1" applyFill="1" applyBorder="1" applyAlignment="1">
      <alignment vertical="center"/>
    </xf>
    <xf numFmtId="0" fontId="36" fillId="38" borderId="3" xfId="0" applyFont="1" applyFill="1" applyBorder="1" applyAlignment="1">
      <alignment vertical="center"/>
    </xf>
    <xf numFmtId="0" fontId="36" fillId="38" borderId="2" xfId="0" applyFont="1" applyFill="1" applyBorder="1" applyAlignment="1">
      <alignment horizontal="center" vertical="center"/>
    </xf>
    <xf numFmtId="0" fontId="54" fillId="36" borderId="4" xfId="0" applyFont="1" applyFill="1" applyBorder="1" applyAlignment="1">
      <alignment horizontal="left" vertical="center"/>
    </xf>
    <xf numFmtId="0" fontId="36" fillId="38" borderId="3" xfId="0" applyFont="1" applyFill="1" applyBorder="1" applyAlignment="1">
      <alignment vertical="center" wrapText="1"/>
    </xf>
    <xf numFmtId="0" fontId="54" fillId="36" borderId="4" xfId="0" applyFont="1" applyFill="1" applyBorder="1" applyAlignment="1">
      <alignment vertical="center"/>
    </xf>
    <xf numFmtId="178" fontId="0" fillId="0" borderId="0" xfId="0" applyNumberFormat="1"/>
    <xf numFmtId="4" fontId="0" fillId="49" borderId="25" xfId="0" applyNumberFormat="1" applyFill="1" applyBorder="1" applyAlignment="1">
      <alignment horizontal="center" vertical="center"/>
    </xf>
    <xf numFmtId="0" fontId="13" fillId="4" borderId="6" xfId="0" applyFont="1" applyFill="1" applyBorder="1" applyAlignment="1">
      <alignment vertical="center"/>
    </xf>
    <xf numFmtId="0" fontId="0" fillId="33" borderId="0" xfId="0" applyFill="1"/>
    <xf numFmtId="0" fontId="0" fillId="33" borderId="0" xfId="0" applyFill="1" applyAlignment="1">
      <alignment horizontal="left"/>
    </xf>
    <xf numFmtId="4" fontId="0" fillId="33" borderId="0" xfId="0" applyNumberFormat="1" applyFill="1" applyAlignment="1">
      <alignment horizontal="left"/>
    </xf>
    <xf numFmtId="8" fontId="0" fillId="33" borderId="0" xfId="0" applyNumberFormat="1" applyFill="1" applyAlignment="1">
      <alignment horizontal="left"/>
    </xf>
    <xf numFmtId="10" fontId="0" fillId="33" borderId="0" xfId="0" applyNumberFormat="1" applyFill="1" applyAlignment="1">
      <alignment horizontal="left"/>
    </xf>
    <xf numFmtId="0" fontId="5" fillId="2" borderId="87" xfId="0" applyFont="1" applyFill="1" applyBorder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0" fontId="0" fillId="0" borderId="87" xfId="0" applyBorder="1"/>
    <xf numFmtId="0" fontId="0" fillId="0" borderId="90" xfId="0" applyBorder="1"/>
    <xf numFmtId="0" fontId="0" fillId="0" borderId="1" xfId="0" applyBorder="1"/>
    <xf numFmtId="0" fontId="0" fillId="0" borderId="8" xfId="0" applyBorder="1"/>
    <xf numFmtId="0" fontId="5" fillId="2" borderId="57" xfId="0" applyFont="1" applyFill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14" fontId="7" fillId="0" borderId="91" xfId="0" applyNumberFormat="1" applyFont="1" applyBorder="1" applyAlignment="1">
      <alignment horizontal="center" vertical="center"/>
    </xf>
    <xf numFmtId="14" fontId="55" fillId="0" borderId="91" xfId="0" applyNumberFormat="1" applyFont="1" applyBorder="1" applyAlignment="1">
      <alignment horizontal="center" vertical="center"/>
    </xf>
    <xf numFmtId="0" fontId="0" fillId="40" borderId="73" xfId="0" applyFill="1" applyBorder="1"/>
    <xf numFmtId="0" fontId="0" fillId="0" borderId="74" xfId="0" applyBorder="1" applyAlignment="1">
      <alignment horizontal="left"/>
    </xf>
    <xf numFmtId="0" fontId="0" fillId="33" borderId="74" xfId="0" applyFill="1" applyBorder="1" applyAlignment="1">
      <alignment horizontal="left" vertical="top"/>
    </xf>
    <xf numFmtId="0" fontId="0" fillId="40" borderId="76" xfId="0" applyFill="1" applyBorder="1"/>
    <xf numFmtId="0" fontId="0" fillId="33" borderId="0" xfId="0" applyFill="1" applyAlignment="1">
      <alignment horizontal="left" vertical="top"/>
    </xf>
    <xf numFmtId="0" fontId="0" fillId="40" borderId="78" xfId="0" applyFill="1" applyBorder="1"/>
    <xf numFmtId="0" fontId="0" fillId="33" borderId="79" xfId="0" applyFill="1" applyBorder="1" applyAlignment="1">
      <alignment horizontal="left" vertical="top"/>
    </xf>
    <xf numFmtId="0" fontId="0" fillId="33" borderId="74" xfId="0" applyFill="1" applyBorder="1" applyAlignment="1">
      <alignment horizontal="left" vertical="center"/>
    </xf>
    <xf numFmtId="0" fontId="0" fillId="33" borderId="79" xfId="0" applyFill="1" applyBorder="1" applyAlignment="1">
      <alignment horizontal="left" vertical="center"/>
    </xf>
    <xf numFmtId="0" fontId="0" fillId="22" borderId="0" xfId="0" applyFill="1" applyAlignment="1">
      <alignment horizontal="left"/>
    </xf>
    <xf numFmtId="0" fontId="0" fillId="22" borderId="78" xfId="0" applyFill="1" applyBorder="1"/>
    <xf numFmtId="0" fontId="0" fillId="22" borderId="79" xfId="0" applyFill="1" applyBorder="1" applyAlignment="1">
      <alignment horizontal="left"/>
    </xf>
    <xf numFmtId="178" fontId="57" fillId="0" borderId="5" xfId="5" applyNumberFormat="1" applyFont="1" applyBorder="1" applyAlignment="1">
      <alignment horizontal="center" vertical="center"/>
    </xf>
    <xf numFmtId="14" fontId="55" fillId="0" borderId="92" xfId="0" applyNumberFormat="1" applyFont="1" applyBorder="1" applyAlignment="1">
      <alignment horizontal="center" vertical="center"/>
    </xf>
    <xf numFmtId="178" fontId="57" fillId="0" borderId="56" xfId="5" applyNumberFormat="1" applyFont="1" applyBorder="1" applyAlignment="1">
      <alignment horizontal="center" vertical="center"/>
    </xf>
    <xf numFmtId="4" fontId="0" fillId="33" borderId="74" xfId="0" applyNumberFormat="1" applyFill="1" applyBorder="1" applyAlignment="1">
      <alignment horizontal="left" vertical="center"/>
    </xf>
    <xf numFmtId="3" fontId="0" fillId="33" borderId="0" xfId="0" applyNumberFormat="1" applyFill="1" applyAlignment="1">
      <alignment horizontal="left" vertical="center"/>
    </xf>
    <xf numFmtId="4" fontId="0" fillId="33" borderId="79" xfId="0" applyNumberFormat="1" applyFill="1" applyBorder="1" applyAlignment="1">
      <alignment horizontal="left" vertical="center"/>
    </xf>
    <xf numFmtId="0" fontId="0" fillId="16" borderId="78" xfId="0" applyFill="1" applyBorder="1"/>
    <xf numFmtId="0" fontId="0" fillId="16" borderId="79" xfId="0" applyFill="1" applyBorder="1" applyAlignment="1">
      <alignment horizontal="left"/>
    </xf>
    <xf numFmtId="0" fontId="19" fillId="16" borderId="79" xfId="0" applyFont="1" applyFill="1" applyBorder="1"/>
    <xf numFmtId="0" fontId="0" fillId="16" borderId="79" xfId="0" applyFill="1" applyBorder="1" applyAlignment="1">
      <alignment horizontal="left" vertical="center"/>
    </xf>
    <xf numFmtId="0" fontId="0" fillId="16" borderId="80" xfId="0" applyFill="1" applyBorder="1" applyAlignment="1">
      <alignment vertical="center"/>
    </xf>
    <xf numFmtId="0" fontId="0" fillId="16" borderId="93" xfId="0" applyFill="1" applyBorder="1"/>
    <xf numFmtId="0" fontId="0" fillId="16" borderId="94" xfId="0" applyFill="1" applyBorder="1" applyAlignment="1">
      <alignment horizontal="left"/>
    </xf>
    <xf numFmtId="0" fontId="19" fillId="16" borderId="94" xfId="0" applyFont="1" applyFill="1" applyBorder="1"/>
    <xf numFmtId="0" fontId="0" fillId="16" borderId="94" xfId="0" applyFill="1" applyBorder="1" applyAlignment="1">
      <alignment horizontal="left" vertical="center"/>
    </xf>
    <xf numFmtId="0" fontId="0" fillId="16" borderId="95" xfId="0" applyFill="1" applyBorder="1" applyAlignment="1">
      <alignment vertical="center"/>
    </xf>
    <xf numFmtId="0" fontId="0" fillId="17" borderId="6" xfId="0" applyFill="1" applyBorder="1" applyAlignment="1">
      <alignment horizontal="center" vertical="center"/>
    </xf>
    <xf numFmtId="0" fontId="0" fillId="48" borderId="77" xfId="0" applyFill="1" applyBorder="1" applyAlignment="1">
      <alignment horizontal="center" vertical="center"/>
    </xf>
    <xf numFmtId="0" fontId="0" fillId="40" borderId="96" xfId="0" applyFill="1" applyBorder="1"/>
    <xf numFmtId="0" fontId="0" fillId="0" borderId="64" xfId="0" applyBorder="1" applyAlignment="1">
      <alignment horizontal="left"/>
    </xf>
    <xf numFmtId="0" fontId="19" fillId="0" borderId="64" xfId="0" applyFont="1" applyBorder="1"/>
    <xf numFmtId="0" fontId="0" fillId="48" borderId="65" xfId="0" applyFill="1" applyBorder="1" applyAlignment="1">
      <alignment horizontal="center" vertical="center"/>
    </xf>
    <xf numFmtId="0" fontId="0" fillId="0" borderId="97" xfId="0" applyBorder="1" applyAlignment="1">
      <alignment horizontal="left"/>
    </xf>
    <xf numFmtId="2" fontId="0" fillId="33" borderId="0" xfId="0" applyNumberFormat="1" applyFill="1" applyAlignment="1">
      <alignment horizontal="left" vertical="top"/>
    </xf>
    <xf numFmtId="2" fontId="0" fillId="33" borderId="64" xfId="0" applyNumberFormat="1" applyFill="1" applyBorder="1" applyAlignment="1">
      <alignment horizontal="left" vertical="top"/>
    </xf>
    <xf numFmtId="2" fontId="0" fillId="0" borderId="69" xfId="0" applyNumberFormat="1" applyBorder="1" applyAlignment="1">
      <alignment horizontal="left"/>
    </xf>
    <xf numFmtId="0" fontId="6" fillId="0" borderId="0" xfId="0" applyFont="1" applyAlignment="1">
      <alignment wrapText="1"/>
    </xf>
    <xf numFmtId="0" fontId="58" fillId="0" borderId="0" xfId="0" applyFont="1"/>
    <xf numFmtId="14" fontId="58" fillId="0" borderId="0" xfId="0" applyNumberFormat="1" applyFont="1"/>
    <xf numFmtId="10" fontId="58" fillId="0" borderId="0" xfId="0" applyNumberFormat="1" applyFont="1"/>
    <xf numFmtId="8" fontId="58" fillId="0" borderId="0" xfId="0" applyNumberFormat="1" applyFont="1"/>
    <xf numFmtId="178" fontId="22" fillId="0" borderId="69" xfId="5" applyNumberFormat="1" applyBorder="1" applyAlignment="1">
      <alignment horizontal="left" vertical="center"/>
    </xf>
    <xf numFmtId="1" fontId="0" fillId="0" borderId="69" xfId="0" applyNumberFormat="1" applyBorder="1" applyAlignment="1">
      <alignment horizontal="left"/>
    </xf>
    <xf numFmtId="0" fontId="0" fillId="48" borderId="0" xfId="0" applyFill="1" applyAlignment="1">
      <alignment horizontal="center" vertical="center"/>
    </xf>
    <xf numFmtId="0" fontId="1" fillId="40" borderId="0" xfId="0" applyFont="1" applyFill="1"/>
    <xf numFmtId="1" fontId="0" fillId="33" borderId="0" xfId="0" applyNumberFormat="1" applyFill="1" applyAlignment="1">
      <alignment horizontal="left" vertical="top"/>
    </xf>
    <xf numFmtId="10" fontId="1" fillId="19" borderId="22" xfId="3" applyNumberFormat="1" applyFont="1" applyFill="1" applyBorder="1" applyAlignment="1">
      <alignment horizontal="center" vertical="center"/>
    </xf>
    <xf numFmtId="10" fontId="1" fillId="19" borderId="6" xfId="3" applyNumberFormat="1" applyFont="1" applyFill="1" applyBorder="1" applyAlignment="1">
      <alignment horizontal="center" vertical="center"/>
    </xf>
    <xf numFmtId="10" fontId="1" fillId="0" borderId="25" xfId="3" applyNumberFormat="1" applyFont="1" applyBorder="1" applyAlignment="1">
      <alignment horizontal="center" vertical="center"/>
    </xf>
    <xf numFmtId="176" fontId="1" fillId="0" borderId="25" xfId="3" applyNumberFormat="1" applyFont="1" applyBorder="1" applyAlignment="1">
      <alignment horizontal="center" vertical="center"/>
    </xf>
    <xf numFmtId="176" fontId="1" fillId="0" borderId="50" xfId="3" applyNumberFormat="1" applyFont="1" applyBorder="1" applyAlignment="1">
      <alignment horizontal="center" vertical="center"/>
    </xf>
    <xf numFmtId="10" fontId="1" fillId="19" borderId="51" xfId="3" applyNumberFormat="1" applyFont="1" applyFill="1" applyBorder="1" applyAlignment="1">
      <alignment horizontal="center" vertical="center"/>
    </xf>
    <xf numFmtId="0" fontId="1" fillId="0" borderId="0" xfId="4" applyFont="1"/>
    <xf numFmtId="43" fontId="29" fillId="24" borderId="5" xfId="4" applyNumberFormat="1" applyFont="1" applyFill="1" applyBorder="1" applyAlignment="1">
      <alignment horizontal="center" vertical="center" wrapText="1"/>
    </xf>
    <xf numFmtId="0" fontId="26" fillId="22" borderId="98" xfId="0" applyFont="1" applyFill="1" applyBorder="1" applyAlignment="1">
      <alignment horizontal="center" vertical="center" wrapText="1"/>
    </xf>
    <xf numFmtId="0" fontId="16" fillId="8" borderId="98" xfId="0" applyFont="1" applyFill="1" applyBorder="1" applyAlignment="1">
      <alignment horizontal="center" vertical="center" wrapText="1"/>
    </xf>
    <xf numFmtId="49" fontId="16" fillId="8" borderId="98" xfId="0" applyNumberFormat="1" applyFont="1" applyFill="1" applyBorder="1" applyAlignment="1">
      <alignment horizontal="center" vertical="center"/>
    </xf>
    <xf numFmtId="0" fontId="16" fillId="9" borderId="98" xfId="0" applyFont="1" applyFill="1" applyBorder="1" applyAlignment="1">
      <alignment horizontal="center" vertical="center" wrapText="1"/>
    </xf>
    <xf numFmtId="0" fontId="16" fillId="10" borderId="98" xfId="0" applyFont="1" applyFill="1" applyBorder="1" applyAlignment="1">
      <alignment horizontal="center" vertical="center" wrapText="1"/>
    </xf>
    <xf numFmtId="0" fontId="16" fillId="11" borderId="98" xfId="0" applyFont="1" applyFill="1" applyBorder="1" applyAlignment="1">
      <alignment horizontal="center" vertical="center" wrapText="1"/>
    </xf>
    <xf numFmtId="0" fontId="16" fillId="21" borderId="98" xfId="0" applyFont="1" applyFill="1" applyBorder="1" applyAlignment="1">
      <alignment horizontal="center" vertical="center" wrapText="1"/>
    </xf>
    <xf numFmtId="0" fontId="0" fillId="0" borderId="98" xfId="0" quotePrefix="1" applyBorder="1" applyAlignment="1">
      <alignment horizontal="center" vertical="center"/>
    </xf>
    <xf numFmtId="0" fontId="39" fillId="0" borderId="98" xfId="0" applyFont="1" applyBorder="1"/>
    <xf numFmtId="4" fontId="0" fillId="17" borderId="98" xfId="0" applyNumberFormat="1" applyFill="1" applyBorder="1" applyAlignment="1">
      <alignment horizontal="center" vertical="center"/>
    </xf>
    <xf numFmtId="172" fontId="0" fillId="0" borderId="98" xfId="0" applyNumberFormat="1" applyBorder="1" applyAlignment="1">
      <alignment horizontal="center" vertical="center"/>
    </xf>
    <xf numFmtId="4" fontId="25" fillId="17" borderId="98" xfId="0" applyNumberFormat="1" applyFont="1" applyFill="1" applyBorder="1" applyAlignment="1">
      <alignment horizontal="center" vertical="center"/>
    </xf>
    <xf numFmtId="3" fontId="0" fillId="17" borderId="98" xfId="0" applyNumberFormat="1" applyFill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4" fontId="0" fillId="0" borderId="98" xfId="0" applyNumberFormat="1" applyBorder="1" applyAlignment="1">
      <alignment horizontal="center" vertical="center"/>
    </xf>
    <xf numFmtId="3" fontId="0" fillId="18" borderId="98" xfId="0" applyNumberFormat="1" applyFill="1" applyBorder="1" applyAlignment="1">
      <alignment horizontal="center" vertical="center"/>
    </xf>
    <xf numFmtId="4" fontId="0" fillId="18" borderId="98" xfId="0" applyNumberFormat="1" applyFill="1" applyBorder="1" applyAlignment="1">
      <alignment horizontal="center" vertical="center"/>
    </xf>
    <xf numFmtId="172" fontId="0" fillId="18" borderId="98" xfId="0" applyNumberFormat="1" applyFill="1" applyBorder="1" applyAlignment="1">
      <alignment horizontal="center" vertical="center"/>
    </xf>
    <xf numFmtId="4" fontId="25" fillId="18" borderId="98" xfId="0" applyNumberFormat="1" applyFont="1" applyFill="1" applyBorder="1" applyAlignment="1">
      <alignment horizontal="center" vertical="center"/>
    </xf>
    <xf numFmtId="173" fontId="0" fillId="19" borderId="98" xfId="0" applyNumberFormat="1" applyFill="1" applyBorder="1" applyAlignment="1">
      <alignment horizontal="center" vertical="center"/>
    </xf>
    <xf numFmtId="4" fontId="0" fillId="19" borderId="98" xfId="0" applyNumberFormat="1" applyFill="1" applyBorder="1" applyAlignment="1">
      <alignment horizontal="center" vertical="center"/>
    </xf>
    <xf numFmtId="10" fontId="1" fillId="19" borderId="98" xfId="3" applyNumberFormat="1" applyFont="1" applyFill="1" applyBorder="1" applyAlignment="1">
      <alignment horizontal="center" vertical="center"/>
    </xf>
    <xf numFmtId="49" fontId="24" fillId="19" borderId="98" xfId="0" quotePrefix="1" applyNumberFormat="1" applyFont="1" applyFill="1" applyBorder="1" applyAlignment="1">
      <alignment horizontal="center" vertical="center"/>
    </xf>
    <xf numFmtId="0" fontId="24" fillId="19" borderId="98" xfId="0" applyFont="1" applyFill="1" applyBorder="1" applyAlignment="1">
      <alignment horizontal="center" vertical="center"/>
    </xf>
    <xf numFmtId="4" fontId="24" fillId="19" borderId="98" xfId="0" applyNumberFormat="1" applyFont="1" applyFill="1" applyBorder="1" applyAlignment="1">
      <alignment horizontal="center" vertical="center"/>
    </xf>
    <xf numFmtId="3" fontId="24" fillId="19" borderId="98" xfId="0" applyNumberFormat="1" applyFont="1" applyFill="1" applyBorder="1" applyAlignment="1">
      <alignment horizontal="center" vertical="center"/>
    </xf>
    <xf numFmtId="9" fontId="24" fillId="19" borderId="98" xfId="3" applyFont="1" applyFill="1" applyBorder="1" applyAlignment="1">
      <alignment horizontal="center" vertical="center"/>
    </xf>
    <xf numFmtId="0" fontId="28" fillId="25" borderId="62" xfId="4" applyFont="1" applyFill="1" applyBorder="1" applyAlignment="1">
      <alignment horizontal="center" vertical="center" wrapText="1"/>
    </xf>
    <xf numFmtId="0" fontId="0" fillId="0" borderId="70" xfId="0" applyBorder="1"/>
    <xf numFmtId="0" fontId="29" fillId="24" borderId="71" xfId="4" applyFont="1" applyFill="1" applyBorder="1" applyAlignment="1">
      <alignment horizontal="center" vertical="center" wrapText="1"/>
    </xf>
    <xf numFmtId="0" fontId="0" fillId="0" borderId="63" xfId="0" applyBorder="1"/>
    <xf numFmtId="0" fontId="0" fillId="50" borderId="75" xfId="0" applyFill="1" applyBorder="1" applyAlignment="1">
      <alignment horizontal="center" vertical="center"/>
    </xf>
    <xf numFmtId="0" fontId="0" fillId="50" borderId="77" xfId="0" applyFill="1" applyBorder="1" applyAlignment="1">
      <alignment horizontal="center" vertical="center"/>
    </xf>
    <xf numFmtId="0" fontId="0" fillId="50" borderId="80" xfId="0" applyFill="1" applyBorder="1" applyAlignment="1">
      <alignment horizontal="center" vertical="center"/>
    </xf>
    <xf numFmtId="0" fontId="0" fillId="46" borderId="75" xfId="0" applyFill="1" applyBorder="1" applyAlignment="1">
      <alignment horizontal="center" vertical="center"/>
    </xf>
    <xf numFmtId="0" fontId="0" fillId="46" borderId="77" xfId="0" applyFill="1" applyBorder="1" applyAlignment="1">
      <alignment horizontal="center" vertical="center"/>
    </xf>
    <xf numFmtId="0" fontId="0" fillId="46" borderId="80" xfId="0" applyFill="1" applyBorder="1" applyAlignment="1">
      <alignment horizontal="center" vertical="center"/>
    </xf>
    <xf numFmtId="0" fontId="0" fillId="22" borderId="75" xfId="0" applyFill="1" applyBorder="1" applyAlignment="1">
      <alignment horizontal="center" vertical="center"/>
    </xf>
    <xf numFmtId="0" fontId="0" fillId="22" borderId="77" xfId="0" applyFill="1" applyBorder="1" applyAlignment="1">
      <alignment horizontal="center" vertical="center"/>
    </xf>
    <xf numFmtId="0" fontId="0" fillId="22" borderId="80" xfId="0" applyFill="1" applyBorder="1" applyAlignment="1">
      <alignment horizontal="center" vertical="center"/>
    </xf>
    <xf numFmtId="0" fontId="0" fillId="51" borderId="75" xfId="0" applyFill="1" applyBorder="1" applyAlignment="1">
      <alignment horizontal="center" vertical="center"/>
    </xf>
    <xf numFmtId="0" fontId="0" fillId="51" borderId="77" xfId="0" applyFill="1" applyBorder="1" applyAlignment="1">
      <alignment horizontal="center" vertical="center"/>
    </xf>
    <xf numFmtId="0" fontId="0" fillId="51" borderId="80" xfId="0" applyFill="1" applyBorder="1" applyAlignment="1">
      <alignment horizontal="center" vertical="center"/>
    </xf>
    <xf numFmtId="0" fontId="0" fillId="42" borderId="75" xfId="0" applyFill="1" applyBorder="1" applyAlignment="1">
      <alignment horizontal="center" vertical="center"/>
    </xf>
    <xf numFmtId="0" fontId="0" fillId="42" borderId="77" xfId="0" applyFill="1" applyBorder="1" applyAlignment="1">
      <alignment horizontal="center" vertical="center"/>
    </xf>
    <xf numFmtId="0" fontId="0" fillId="42" borderId="80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 wrapText="1"/>
    </xf>
    <xf numFmtId="0" fontId="0" fillId="0" borderId="58" xfId="0" applyBorder="1"/>
    <xf numFmtId="0" fontId="16" fillId="5" borderId="98" xfId="0" applyFont="1" applyFill="1" applyBorder="1" applyAlignment="1">
      <alignment horizontal="center" vertical="center"/>
    </xf>
    <xf numFmtId="0" fontId="0" fillId="0" borderId="98" xfId="0" applyBorder="1"/>
    <xf numFmtId="0" fontId="16" fillId="7" borderId="98" xfId="0" applyFont="1" applyFill="1" applyBorder="1" applyAlignment="1">
      <alignment horizontal="center" vertical="center"/>
    </xf>
    <xf numFmtId="0" fontId="16" fillId="6" borderId="98" xfId="0" applyFont="1" applyFill="1" applyBorder="1" applyAlignment="1">
      <alignment horizontal="center" vertical="center"/>
    </xf>
    <xf numFmtId="0" fontId="16" fillId="8" borderId="33" xfId="0" applyFont="1" applyFill="1" applyBorder="1" applyAlignment="1">
      <alignment horizontal="center" vertical="center" wrapText="1"/>
    </xf>
    <xf numFmtId="0" fontId="0" fillId="0" borderId="48" xfId="0" applyBorder="1"/>
    <xf numFmtId="0" fontId="16" fillId="5" borderId="0" xfId="0" applyFont="1" applyFill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9" borderId="36" xfId="0" applyFont="1" applyFill="1" applyBorder="1" applyAlignment="1">
      <alignment horizontal="center" vertical="center" wrapText="1"/>
    </xf>
    <xf numFmtId="0" fontId="0" fillId="0" borderId="50" xfId="0" applyBorder="1"/>
    <xf numFmtId="0" fontId="16" fillId="9" borderId="35" xfId="0" applyFont="1" applyFill="1" applyBorder="1" applyAlignment="1">
      <alignment horizontal="center" vertical="center" wrapText="1"/>
    </xf>
    <xf numFmtId="0" fontId="0" fillId="0" borderId="72" xfId="0" applyBorder="1"/>
    <xf numFmtId="0" fontId="16" fillId="9" borderId="24" xfId="0" applyFont="1" applyFill="1" applyBorder="1" applyAlignment="1">
      <alignment horizontal="center" vertical="center" wrapText="1"/>
    </xf>
    <xf numFmtId="0" fontId="0" fillId="0" borderId="29" xfId="0" applyBorder="1"/>
    <xf numFmtId="0" fontId="16" fillId="10" borderId="36" xfId="0" applyFont="1" applyFill="1" applyBorder="1" applyAlignment="1">
      <alignment horizontal="center" vertical="center" wrapText="1"/>
    </xf>
    <xf numFmtId="0" fontId="16" fillId="10" borderId="37" xfId="0" applyFont="1" applyFill="1" applyBorder="1" applyAlignment="1">
      <alignment horizontal="center" vertical="center" wrapText="1"/>
    </xf>
    <xf numFmtId="0" fontId="0" fillId="0" borderId="59" xfId="0" applyBorder="1"/>
    <xf numFmtId="0" fontId="26" fillId="23" borderId="59" xfId="0" applyFont="1" applyFill="1" applyBorder="1" applyAlignment="1">
      <alignment horizontal="center" vertical="center" wrapText="1"/>
    </xf>
    <xf numFmtId="0" fontId="16" fillId="10" borderId="34" xfId="0" applyFont="1" applyFill="1" applyBorder="1" applyAlignment="1">
      <alignment horizontal="center" vertical="center" wrapText="1"/>
    </xf>
    <xf numFmtId="0" fontId="0" fillId="0" borderId="51" xfId="0" applyBorder="1"/>
    <xf numFmtId="0" fontId="16" fillId="11" borderId="35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/>
    </xf>
    <xf numFmtId="0" fontId="0" fillId="0" borderId="15" xfId="0" applyBorder="1"/>
    <xf numFmtId="0" fontId="16" fillId="11" borderId="33" xfId="0" applyFont="1" applyFill="1" applyBorder="1" applyAlignment="1">
      <alignment horizontal="center" vertical="center" wrapText="1"/>
    </xf>
    <xf numFmtId="49" fontId="18" fillId="8" borderId="34" xfId="0" applyNumberFormat="1" applyFont="1" applyFill="1" applyBorder="1" applyAlignment="1">
      <alignment horizontal="center" vertical="center"/>
    </xf>
    <xf numFmtId="0" fontId="16" fillId="10" borderId="24" xfId="0" applyFont="1" applyFill="1" applyBorder="1" applyAlignment="1">
      <alignment horizontal="center" vertical="center" wrapText="1"/>
    </xf>
    <xf numFmtId="0" fontId="16" fillId="11" borderId="3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6" fillId="5" borderId="6" xfId="0" applyFont="1" applyFill="1" applyBorder="1" applyAlignment="1">
      <alignment horizontal="center" vertical="center"/>
    </xf>
    <xf numFmtId="0" fontId="0" fillId="0" borderId="64" xfId="0" applyBorder="1"/>
    <xf numFmtId="0" fontId="0" fillId="0" borderId="65" xfId="0" applyBorder="1"/>
    <xf numFmtId="0" fontId="16" fillId="5" borderId="6" xfId="0" applyFont="1" applyFill="1" applyBorder="1" applyAlignment="1">
      <alignment horizontal="left" vertical="center"/>
    </xf>
    <xf numFmtId="0" fontId="16" fillId="7" borderId="6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5" borderId="39" xfId="0" applyFont="1" applyFill="1" applyBorder="1" applyAlignment="1">
      <alignment horizontal="left" vertical="center"/>
    </xf>
    <xf numFmtId="0" fontId="0" fillId="0" borderId="40" xfId="0" applyBorder="1"/>
    <xf numFmtId="0" fontId="16" fillId="6" borderId="39" xfId="0" applyFont="1" applyFill="1" applyBorder="1" applyAlignment="1">
      <alignment horizontal="left" vertical="center"/>
    </xf>
    <xf numFmtId="0" fontId="16" fillId="15" borderId="16" xfId="0" applyFont="1" applyFill="1" applyBorder="1" applyAlignment="1">
      <alignment horizontal="center" vertical="center"/>
    </xf>
    <xf numFmtId="0" fontId="0" fillId="0" borderId="16" xfId="0" applyBorder="1"/>
    <xf numFmtId="0" fontId="16" fillId="5" borderId="32" xfId="0" applyFont="1" applyFill="1" applyBorder="1" applyAlignment="1">
      <alignment horizontal="left" vertical="center"/>
    </xf>
    <xf numFmtId="0" fontId="0" fillId="0" borderId="41" xfId="0" applyBorder="1"/>
    <xf numFmtId="0" fontId="38" fillId="39" borderId="8" xfId="0" applyFont="1" applyFill="1" applyBorder="1" applyAlignment="1">
      <alignment horizontal="center"/>
    </xf>
    <xf numFmtId="0" fontId="38" fillId="39" borderId="9" xfId="0" applyFont="1" applyFill="1" applyBorder="1" applyAlignment="1">
      <alignment horizontal="center"/>
    </xf>
    <xf numFmtId="0" fontId="36" fillId="36" borderId="12" xfId="0" applyFont="1" applyFill="1" applyBorder="1" applyAlignment="1">
      <alignment horizontal="center" vertical="center" wrapText="1"/>
    </xf>
    <xf numFmtId="0" fontId="36" fillId="36" borderId="11" xfId="0" applyFont="1" applyFill="1" applyBorder="1" applyAlignment="1">
      <alignment horizontal="center" vertical="center" wrapText="1"/>
    </xf>
    <xf numFmtId="0" fontId="28" fillId="0" borderId="0" xfId="4" applyFont="1" applyAlignment="1">
      <alignment horizontal="center" vertical="center" wrapText="1"/>
    </xf>
    <xf numFmtId="0" fontId="0" fillId="0" borderId="0" xfId="0"/>
    <xf numFmtId="0" fontId="36" fillId="38" borderId="1" xfId="0" applyFont="1" applyFill="1" applyBorder="1" applyAlignment="1">
      <alignment horizontal="left" vertical="center"/>
    </xf>
    <xf numFmtId="0" fontId="37" fillId="36" borderId="4" xfId="0" applyFont="1" applyFill="1" applyBorder="1"/>
    <xf numFmtId="0" fontId="29" fillId="0" borderId="0" xfId="4" applyFont="1" applyAlignment="1">
      <alignment horizontal="center" vertical="center" wrapText="1"/>
    </xf>
    <xf numFmtId="0" fontId="36" fillId="36" borderId="3" xfId="0" applyFont="1" applyFill="1" applyBorder="1" applyAlignment="1">
      <alignment horizontal="center" vertical="center"/>
    </xf>
    <xf numFmtId="0" fontId="37" fillId="36" borderId="6" xfId="0" applyFont="1" applyFill="1" applyBorder="1"/>
    <xf numFmtId="0" fontId="0" fillId="0" borderId="0" xfId="0" applyAlignment="1">
      <alignment horizontal="center"/>
    </xf>
    <xf numFmtId="0" fontId="31" fillId="26" borderId="6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/>
    </xf>
    <xf numFmtId="0" fontId="0" fillId="0" borderId="13" xfId="0" applyBorder="1"/>
    <xf numFmtId="2" fontId="33" fillId="27" borderId="6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30" fillId="26" borderId="6" xfId="0" applyFont="1" applyFill="1" applyBorder="1" applyAlignment="1">
      <alignment horizontal="center" vertical="center" wrapText="1"/>
    </xf>
    <xf numFmtId="0" fontId="0" fillId="29" borderId="0" xfId="0" applyFill="1" applyAlignment="1">
      <alignment horizontal="center"/>
    </xf>
    <xf numFmtId="164" fontId="33" fillId="27" borderId="6" xfId="0" applyNumberFormat="1" applyFont="1" applyFill="1" applyBorder="1" applyAlignment="1">
      <alignment horizontal="center" vertical="center"/>
    </xf>
    <xf numFmtId="179" fontId="33" fillId="27" borderId="6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left" wrapText="1"/>
    </xf>
    <xf numFmtId="0" fontId="0" fillId="0" borderId="14" xfId="0" applyBorder="1"/>
    <xf numFmtId="179" fontId="33" fillId="27" borderId="6" xfId="0" applyNumberFormat="1" applyFont="1" applyFill="1" applyBorder="1" applyAlignment="1">
      <alignment horizontal="center" vertical="center" wrapText="1"/>
    </xf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32" fillId="27" borderId="6" xfId="0" applyFont="1" applyFill="1" applyBorder="1" applyAlignment="1">
      <alignment horizontal="center" vertical="center" wrapText="1"/>
    </xf>
    <xf numFmtId="0" fontId="0" fillId="0" borderId="11" xfId="0" applyBorder="1"/>
    <xf numFmtId="0" fontId="16" fillId="5" borderId="41" xfId="0" applyFont="1" applyFill="1" applyBorder="1" applyAlignment="1">
      <alignment horizontal="left" vertical="center"/>
    </xf>
    <xf numFmtId="0" fontId="16" fillId="7" borderId="17" xfId="0" applyFont="1" applyFill="1" applyBorder="1" applyAlignment="1">
      <alignment horizontal="left" vertical="center"/>
    </xf>
  </cellXfs>
  <cellStyles count="36">
    <cellStyle name="Cálculo 2" xfId="9" xr:uid="{A2CF9054-2BC7-4E65-9664-DB7CBDAEC81D}"/>
    <cellStyle name="Entrada 2" xfId="10" xr:uid="{B5DCDB9F-EE6C-4B84-8406-A3BA0F8E09F4}"/>
    <cellStyle name="Hiperligação" xfId="2" builtinId="8"/>
    <cellStyle name="Moeda" xfId="5" builtinId="4"/>
    <cellStyle name="Normal" xfId="0" builtinId="0"/>
    <cellStyle name="Normal 10" xfId="34" xr:uid="{AD460797-52F3-4AE7-8CE0-2DCC106364E7}"/>
    <cellStyle name="Normal 11" xfId="6" xr:uid="{B5442AB5-E0F8-416C-AB2C-334784B65BA6}"/>
    <cellStyle name="Normal 2" xfId="1" xr:uid="{00000000-0005-0000-0000-000001000000}"/>
    <cellStyle name="Normal 2 2" xfId="11" xr:uid="{C654134C-49BC-47F9-A11A-79A05E3F1F33}"/>
    <cellStyle name="Normal 3" xfId="4" xr:uid="{00000000-0005-0000-0000-000004000000}"/>
    <cellStyle name="Normal 3 2" xfId="13" xr:uid="{AC1F2615-BB7D-405C-B5D0-F0DEC72B43D2}"/>
    <cellStyle name="Normal 3 3" xfId="12" xr:uid="{A1433B9B-3633-4DBA-93AB-97D8714B1E2A}"/>
    <cellStyle name="Normal 4" xfId="14" xr:uid="{0E1ED6FC-E848-41FD-B69E-EC1498F2AEB5}"/>
    <cellStyle name="Normal 4 2" xfId="35" xr:uid="{449878D0-BD91-46DB-9E52-AC6EA1A1B543}"/>
    <cellStyle name="Normal 5" xfId="29" xr:uid="{58BDECA3-C2BB-4A81-A329-05DBA5E64A54}"/>
    <cellStyle name="Normal 5 2" xfId="33" xr:uid="{1C331894-1A81-4D8B-9A09-3DCD476E98C4}"/>
    <cellStyle name="Normal 6" xfId="8" xr:uid="{CC7A497A-B55E-460F-B57E-019AA33F2864}"/>
    <cellStyle name="Normal 7" xfId="30" xr:uid="{E0BC95B3-73A9-403A-9231-5DE84053DF2F}"/>
    <cellStyle name="Normal 8" xfId="31" xr:uid="{19DDA0B0-8439-4F5B-AAC3-F0AC28F9BFFC}"/>
    <cellStyle name="Normal 9" xfId="32" xr:uid="{296A9AB2-6536-405D-A61E-BC1ABB5DC9DF}"/>
    <cellStyle name="Nota 2" xfId="15" xr:uid="{965B8585-440E-477B-B775-56FB6E30E740}"/>
    <cellStyle name="Percentagem" xfId="3" builtinId="5"/>
    <cellStyle name="Porcentagem 2" xfId="16" xr:uid="{984E950D-DFD0-4126-9EB5-94A77F6E0FDD}"/>
    <cellStyle name="Porcentagem 3" xfId="17" xr:uid="{063FD23C-52F4-42A4-AD51-4DA559E04AFC}"/>
    <cellStyle name="Porcentagem 3 2" xfId="18" xr:uid="{C609010F-C7B6-426A-9682-699FB6E02381}"/>
    <cellStyle name="Porcentagem 4" xfId="19" xr:uid="{24424DB0-F762-4404-98E1-3AEA873E1A21}"/>
    <cellStyle name="Saída 2" xfId="20" xr:uid="{0181EF1D-4DEC-441F-9034-353E22CC4612}"/>
    <cellStyle name="Separador de milhares 2" xfId="21" xr:uid="{56B6779E-E4E9-4C21-AA33-1BFD9DE8FD9F}"/>
    <cellStyle name="Texto de Aviso 2" xfId="22" xr:uid="{372EE698-BE0F-49AF-8656-B51FB129772E}"/>
    <cellStyle name="Texto Explicativo 2" xfId="23" xr:uid="{257232ED-C9C0-48D5-8400-F62147F030A2}"/>
    <cellStyle name="Título 5" xfId="25" xr:uid="{94930AD3-7D35-41BB-9094-B0AA930CF9E7}"/>
    <cellStyle name="Total 2" xfId="24" xr:uid="{8ABE5944-693B-42EC-A513-80BAF51C6894}"/>
    <cellStyle name="Vírgula 2" xfId="26" xr:uid="{92544812-DEA5-4822-9098-3225147CC6D9}"/>
    <cellStyle name="Vírgula 2 2" xfId="27" xr:uid="{04F630F7-BC3A-43C4-96D1-8137BD73F688}"/>
    <cellStyle name="Vírgula 3" xfId="28" xr:uid="{5DC50563-2E3B-47DD-9C02-D977FA6EE613}"/>
    <cellStyle name="Vírgula 4" xfId="7" xr:uid="{100BEE78-9D22-4E40-9790-45367CDD6A78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4E5A2"/>
      <rgbColor rgb="FF808080"/>
      <rgbColor rgb="FF83CBEB"/>
      <rgbColor rgb="FFA02B93"/>
      <rgbColor rgb="FFF2F2F2"/>
      <rgbColor rgb="FFCAEEFB"/>
      <rgbColor rgb="FF660066"/>
      <rgbColor rgb="FFFF8080"/>
      <rgbColor rgb="FF215C98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B0F0"/>
      <rgbColor rgb="FFD9F2D0"/>
      <rgbColor rgb="FFCCFFCC"/>
      <rgbColor rgb="FFFFFF99"/>
      <rgbColor rgb="FF96DCF8"/>
      <rgbColor rgb="FFE59EDD"/>
      <rgbColor rgb="FFF2CFEE"/>
      <rgbColor rgb="FFF2AA84"/>
      <rgbColor rgb="FF3366FF"/>
      <rgbColor rgb="FF46B1E1"/>
      <rgbColor rgb="FF92D050"/>
      <rgbColor rgb="FFFFC000"/>
      <rgbColor rgb="FFFF9900"/>
      <rgbColor rgb="FFE97132"/>
      <rgbColor rgb="FF595959"/>
      <rgbColor rgb="FFC1E5F5"/>
      <rgbColor rgb="FF003366"/>
      <rgbColor rgb="FF4E95D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595959"/>
                </a:solidFill>
                <a:latin typeface="Aptos Narrow"/>
              </a:rPr>
              <a:t>Consumo Total (kW)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UC_DADOS!$G$36</c:f>
              <c:strCache>
                <c:ptCount val="1"/>
                <c:pt idx="0">
                  <c:v>Consumo Total (kW)</c:v>
                </c:pt>
              </c:strCache>
            </c:strRef>
          </c:tx>
          <c:spPr>
            <a:ln w="28440" cap="rnd">
              <a:solidFill>
                <a:srgbClr val="1560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UC_DADOS!$D$37:$D$48</c:f>
            </c:multiLvlStrRef>
          </c:cat>
          <c:val>
            <c:numRef>
              <c:f>UC_DADOS!$G$37:$G$48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1-42AB-9886-A4A64FEEA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2530048"/>
        <c:axId val="97588552"/>
      </c:lineChart>
      <c:catAx>
        <c:axId val="72530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1600" b="1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97588552"/>
        <c:crosses val="autoZero"/>
        <c:auto val="1"/>
        <c:lblAlgn val="ctr"/>
        <c:lblOffset val="100"/>
        <c:noMultiLvlLbl val="0"/>
      </c:catAx>
      <c:valAx>
        <c:axId val="975885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6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600" b="1" strike="noStrike" spc="-1">
                    <a:solidFill>
                      <a:srgbClr val="000000"/>
                    </a:solidFill>
                    <a:latin typeface="Aptos Narrow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  <a:prstDash val="solid"/>
          </a:ln>
        </c:spPr>
        <c:txPr>
          <a:bodyPr/>
          <a:lstStyle/>
          <a:p>
            <a:pPr>
              <a:defRPr sz="1600" b="1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7253004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Consumos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UC_DADOS!$G$36</c:f>
              <c:strCache>
                <c:ptCount val="1"/>
                <c:pt idx="0">
                  <c:v>Consumo Total (kW)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UC_DADOS!$D$37:$D$48</c:f>
            </c:multiLvlStrRef>
          </c:cat>
          <c:val>
            <c:numRef>
              <c:f>UC_DADOS!$G$37:$G$48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9-4E42-AA1D-2885C4307926}"/>
            </c:ext>
          </c:extLst>
        </c:ser>
        <c:ser>
          <c:idx val="1"/>
          <c:order val="1"/>
          <c:tx>
            <c:strRef>
              <c:f>UC_DADOS!$F$36</c:f>
              <c:strCache>
                <c:ptCount val="1"/>
                <c:pt idx="0">
                  <c:v>Consumo Fora Ponta (kWh)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UC_DADOS!$F$37:$F$48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9-4E42-AA1D-2885C4307926}"/>
            </c:ext>
          </c:extLst>
        </c:ser>
        <c:ser>
          <c:idx val="2"/>
          <c:order val="2"/>
          <c:tx>
            <c:strRef>
              <c:f>UC_DADOS!$E$36</c:f>
              <c:strCache>
                <c:ptCount val="1"/>
                <c:pt idx="0">
                  <c:v>Consumo Ponta (kWh)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UC_DADOS!$E$37:$E$48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9-4E42-AA1D-2885C430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867968"/>
        <c:axId val="1650876128"/>
      </c:barChart>
      <c:catAx>
        <c:axId val="16508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876128"/>
        <c:crosses val="autoZero"/>
        <c:auto val="1"/>
        <c:lblAlgn val="ctr"/>
        <c:lblOffset val="100"/>
        <c:noMultiLvlLbl val="0"/>
      </c:catAx>
      <c:valAx>
        <c:axId val="1650876128"/>
        <c:scaling>
          <c:orientation val="minMax"/>
          <c:max val="1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kWh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867968"/>
        <c:crosses val="autoZero"/>
        <c:crossBetween val="between"/>
        <c:majorUnit val="10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Perfil de Consumo Ponta e Fora da Ponta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UC_DADOS!$E$36</c:f>
              <c:strCache>
                <c:ptCount val="1"/>
                <c:pt idx="0">
                  <c:v>Consumo Ponta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UC_DADOS!$D$37:$D$48</c:f>
            </c:multiLvlStrRef>
          </c:cat>
          <c:val>
            <c:numRef>
              <c:f>UC_DADOS!$E$37:$E$48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7-4B24-8084-D709D28E13AF}"/>
            </c:ext>
          </c:extLst>
        </c:ser>
        <c:ser>
          <c:idx val="1"/>
          <c:order val="1"/>
          <c:tx>
            <c:strRef>
              <c:f>UC_DADOS!$F$36</c:f>
              <c:strCache>
                <c:ptCount val="1"/>
                <c:pt idx="0">
                  <c:v>Consumo Fora Ponta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UC_DADOS!$D$37:$D$48</c:f>
            </c:multiLvlStrRef>
          </c:cat>
          <c:val>
            <c:numRef>
              <c:f>UC_DADOS!$F$37:$F$48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77-4B24-8084-D709D28E1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52335"/>
        <c:axId val="119153775"/>
      </c:barChart>
      <c:catAx>
        <c:axId val="11915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153775"/>
        <c:crosses val="autoZero"/>
        <c:auto val="1"/>
        <c:lblAlgn val="ctr"/>
        <c:lblOffset val="100"/>
        <c:noMultiLvlLbl val="0"/>
      </c:catAx>
      <c:valAx>
        <c:axId val="11915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15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Distribuição do Consumo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4626205229752798E-2"/>
          <c:y val="0.13612791040769051"/>
          <c:w val="0.94582234849454383"/>
          <c:h val="0.7395434553739173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B112-48E6-A1BE-EA56503EBF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B112-48E6-A1BE-EA56503EBF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5-B112-48E6-A1BE-EA56503EBF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7-B112-48E6-A1BE-EA56503EBF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9-B112-48E6-A1BE-EA56503EBFB5}"/>
              </c:ext>
            </c:extLst>
          </c:dPt>
          <c:cat>
            <c:strRef>
              <c:f>CONSUMO_EQP!$A$2:$A$6</c:f>
              <c:strCache>
                <c:ptCount val="5"/>
                <c:pt idx="0">
                  <c:v>Iluminação</c:v>
                </c:pt>
                <c:pt idx="1">
                  <c:v>Climatização</c:v>
                </c:pt>
                <c:pt idx="2">
                  <c:v>Sistemas Motrizes</c:v>
                </c:pt>
                <c:pt idx="3">
                  <c:v>Refrigeração</c:v>
                </c:pt>
                <c:pt idx="4">
                  <c:v>Outros</c:v>
                </c:pt>
              </c:strCache>
            </c:strRef>
          </c:cat>
          <c:val>
            <c:numRef>
              <c:f>CONSUMO_EQP!$B$2:$B$6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12-48E6-A1BE-EA56503EBFB5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C-B112-48E6-A1BE-EA56503EBF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E-B112-48E6-A1BE-EA56503EBF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0-B112-48E6-A1BE-EA56503EBF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2-B112-48E6-A1BE-EA56503EBF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4-B112-48E6-A1BE-EA56503EBFB5}"/>
              </c:ext>
            </c:extLst>
          </c:dPt>
          <c:cat>
            <c:strRef>
              <c:f>CONSUMO_EQP!$A$2:$A$6</c:f>
              <c:strCache>
                <c:ptCount val="5"/>
                <c:pt idx="0">
                  <c:v>Iluminação</c:v>
                </c:pt>
                <c:pt idx="1">
                  <c:v>Climatização</c:v>
                </c:pt>
                <c:pt idx="2">
                  <c:v>Sistemas Motrizes</c:v>
                </c:pt>
                <c:pt idx="3">
                  <c:v>Refrigeração</c:v>
                </c:pt>
                <c:pt idx="4">
                  <c:v>Outros</c:v>
                </c:pt>
              </c:strCache>
            </c:strRef>
          </c:cat>
          <c:val>
            <c:numRef>
              <c:f>CONSUMO_EQP!$C$2:$C$6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112-48E6-A1BE-EA56503EB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Gráfico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 panose="02110004020202020204"/>
            </a:rPr>
            <a:t>Gráfico</a:t>
          </a:r>
        </a:p>
      </cx:txPr>
    </cx:title>
    <cx:plotArea>
      <cx:plotAreaRegion>
        <cx:series layoutId="funnel" uniqueId="{899E1E32-4B6D-440B-AD33-14FAE7D73259}">
          <cx:tx>
            <cx:txData>
              <cx:f>_xlchart.v2.1</cx:f>
              <cx:v>Despesa C/ Energia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172458</xdr:colOff>
      <xdr:row>0</xdr:row>
      <xdr:rowOff>169844</xdr:rowOff>
    </xdr:from>
    <xdr:to>
      <xdr:col>30</xdr:col>
      <xdr:colOff>415549</xdr:colOff>
      <xdr:row>28</xdr:row>
      <xdr:rowOff>186415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244928</xdr:colOff>
      <xdr:row>0</xdr:row>
      <xdr:rowOff>145596</xdr:rowOff>
    </xdr:from>
    <xdr:to>
      <xdr:col>10</xdr:col>
      <xdr:colOff>190500</xdr:colOff>
      <xdr:row>27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263337</xdr:colOff>
      <xdr:row>30</xdr:row>
      <xdr:rowOff>75359</xdr:rowOff>
    </xdr:from>
    <xdr:to>
      <xdr:col>29</xdr:col>
      <xdr:colOff>173691</xdr:colOff>
      <xdr:row>58</xdr:row>
      <xdr:rowOff>40621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DB933B7-4774-3919-265E-09D731C62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303064</xdr:colOff>
      <xdr:row>59</xdr:row>
      <xdr:rowOff>13855</xdr:rowOff>
    </xdr:from>
    <xdr:to>
      <xdr:col>25</xdr:col>
      <xdr:colOff>363679</xdr:colOff>
      <xdr:row>80</xdr:row>
      <xdr:rowOff>17318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0B5AAA4-9E7A-F16D-7E04-CC72B58CD7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10914" y="12329680"/>
              <a:ext cx="7490115" cy="4003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517071</xdr:colOff>
      <xdr:row>0</xdr:row>
      <xdr:rowOff>172809</xdr:rowOff>
    </xdr:from>
    <xdr:to>
      <xdr:col>16</xdr:col>
      <xdr:colOff>27215</xdr:colOff>
      <xdr:row>28</xdr:row>
      <xdr:rowOff>13607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%20Carvalho\Downloads\Planilha%20de%20Avalia&#231;&#227;o_DE_att_v3.xlsx" TargetMode="External"/><Relationship Id="rId1" Type="http://schemas.openxmlformats.org/officeDocument/2006/relationships/externalLinkPath" Target="https://ecoluz-my.sharepoint.com/personal/rafaelferreira_voltxs_com_br/Documents/&#193;rea%20de%20Trabalho/livros/Listas/Eudeblack/Planilha%20de%20Avalia&#231;&#227;o_DE_att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@Referência"/>
      <sheetName val="Consumidor"/>
      <sheetName val="Responsável técnico"/>
      <sheetName val="Pré-Diagnóstico"/>
      <sheetName val="Sistemas de Iluminação"/>
      <sheetName val="RCB - Iluminação"/>
      <sheetName val="Sistemas de Cond. Ambiental (2)"/>
      <sheetName val="RCB - Cond. Ambiental"/>
      <sheetName val="Sistemas de Motor"/>
      <sheetName val="RCB - Motor"/>
      <sheetName val="Sistemas de Refrigeração"/>
      <sheetName val="RCB - Refrigeração"/>
      <sheetName val="Sistemas de Aquecimento de Água"/>
      <sheetName val="RCB - Aquecimento de água"/>
      <sheetName val="Sistemas Solar Fotovoltaico"/>
      <sheetName val="RCB - Solar Fotovoltaico"/>
      <sheetName val="Sistemas Outros"/>
      <sheetName val="RCB - Outros"/>
      <sheetName val="RCB - Consolidada"/>
      <sheetName val="Cronograma físico"/>
      <sheetName val="Cronograma financeiro"/>
      <sheetName val="Custo Contábil - Global"/>
      <sheetName val="RCB - Global"/>
      <sheetName val="Sistemas de Cond. Ambi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dre Carvalho" id="{BC83A5BE-2F3B-487C-9826-74A04D9BB5CF}" userId="S::andrecarvalho@voltxs.com.br::4b3e4001-8082-47bb-ac2f-905a0f0029b9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6-05-12T00:08:40.93" personId="{BC83A5BE-2F3B-487C-9826-74A04D9BB5CF}" id="{E371DA82-A8A9-4ACE-A0DA-11F08B7DD798}">
    <text xml:space="preserve">Ar-condicionado sempre 0,7
</text>
  </threadedComment>
  <threadedComment ref="O2" dT="2026-05-12T00:25:14.96" personId="{BC83A5BE-2F3B-487C-9826-74A04D9BB5CF}" id="{5ED02AF7-95D1-4AB3-BC2C-0DF6084AF5ED}">
    <text>Areas administrativas não possuem gap de meses (ferias), já salas de aula e refeitorios, sim 2 meses de gap no periodo de férias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6-05-12T00:27:06.23" personId="{BC83A5BE-2F3B-487C-9826-74A04D9BB5CF}" id="{38B345D5-909A-46A6-98E0-8CDC2129C4E6}">
    <text xml:space="preserve">Identificar na foto
</text>
  </threadedComment>
  <threadedComment ref="F2" dT="2026-05-12T00:26:54.03" personId="{BC83A5BE-2F3B-487C-9826-74A04D9BB5CF}" id="{9AE46E93-BFE0-4D63-9C8F-AFD2A1AFE3E5}">
    <text>Identificar na foto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87622D-3D39-49A0-84DA-0E9E9B20046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ef4f41e-21ed-4e8e-985c-85dce327e24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614E-2ED0-4964-95FB-F7ECA6193BA7}">
  <dimension ref="A1:F256"/>
  <sheetViews>
    <sheetView topLeftCell="A69" zoomScale="85" zoomScaleNormal="85" workbookViewId="0">
      <selection activeCell="A42" sqref="A42"/>
    </sheetView>
  </sheetViews>
  <sheetFormatPr defaultColWidth="8.5703125" defaultRowHeight="15" x14ac:dyDescent="0.25"/>
  <cols>
    <col min="1" max="1" width="102.85546875" bestFit="1" customWidth="1"/>
    <col min="2" max="2" width="11.85546875" bestFit="1" customWidth="1"/>
    <col min="3" max="3" width="18.42578125" bestFit="1" customWidth="1"/>
    <col min="4" max="4" width="56.5703125" bestFit="1" customWidth="1"/>
    <col min="5" max="5" width="67.140625" bestFit="1" customWidth="1"/>
    <col min="6" max="6" width="54.7109375" bestFit="1" customWidth="1"/>
  </cols>
  <sheetData>
    <row r="1" spans="1:5" ht="15.75" x14ac:dyDescent="0.25">
      <c r="A1" s="137" t="s">
        <v>0</v>
      </c>
      <c r="B1" s="137" t="s">
        <v>1</v>
      </c>
      <c r="C1" s="137" t="s">
        <v>2</v>
      </c>
      <c r="D1" s="137" t="s">
        <v>3</v>
      </c>
      <c r="E1" s="137" t="s">
        <v>4</v>
      </c>
    </row>
    <row r="2" spans="1:5" x14ac:dyDescent="0.25">
      <c r="A2" s="138" t="s">
        <v>5</v>
      </c>
      <c r="B2" t="s">
        <v>6</v>
      </c>
      <c r="C2" t="s">
        <v>7</v>
      </c>
      <c r="D2" s="139" t="s">
        <v>8</v>
      </c>
      <c r="E2" s="265" t="str">
        <f>IFERROR(IF(UC_DADOS!B28="","",UC_DADOS!B28),"")</f>
        <v>Luiz Carlos Alves Lima</v>
      </c>
    </row>
    <row r="3" spans="1:5" ht="15" customHeight="1" x14ac:dyDescent="0.25">
      <c r="A3" s="140" t="s">
        <v>9</v>
      </c>
      <c r="B3" t="s">
        <v>6</v>
      </c>
      <c r="C3" t="s">
        <v>7</v>
      </c>
      <c r="D3" s="141" t="s">
        <v>10</v>
      </c>
      <c r="E3" s="265" t="str">
        <f>IFERROR(IF(UC_DADOS!B1="","",UC_DADOS!B1),"")</f>
        <v/>
      </c>
    </row>
    <row r="4" spans="1:5" ht="15" customHeight="1" x14ac:dyDescent="0.25">
      <c r="A4" t="s">
        <v>11</v>
      </c>
      <c r="B4" t="s">
        <v>6</v>
      </c>
      <c r="C4" t="s">
        <v>7</v>
      </c>
      <c r="D4" s="142" t="s">
        <v>12</v>
      </c>
      <c r="E4" s="266" t="str">
        <f>IFERROR(IF(UC_DADOS!B8="","",UC_DADOS!B8),"")</f>
        <v/>
      </c>
    </row>
    <row r="5" spans="1:5" ht="15" customHeight="1" x14ac:dyDescent="0.25">
      <c r="A5" s="138" t="s">
        <v>5</v>
      </c>
      <c r="B5" t="s">
        <v>13</v>
      </c>
      <c r="C5" t="s">
        <v>7</v>
      </c>
      <c r="D5" s="139" t="s">
        <v>8</v>
      </c>
      <c r="E5" s="265" t="str">
        <f>IFERROR(IF(E2="","",E2),"")</f>
        <v>Luiz Carlos Alves Lima</v>
      </c>
    </row>
    <row r="6" spans="1:5" ht="15" customHeight="1" x14ac:dyDescent="0.25">
      <c r="A6" s="140" t="s">
        <v>9</v>
      </c>
      <c r="B6" t="s">
        <v>13</v>
      </c>
      <c r="C6" t="s">
        <v>7</v>
      </c>
      <c r="D6" s="141" t="s">
        <v>10</v>
      </c>
      <c r="E6" s="265" t="str">
        <f>IFERROR(IF(E3="","",E3),"")</f>
        <v/>
      </c>
    </row>
    <row r="7" spans="1:5" ht="15" customHeight="1" x14ac:dyDescent="0.25">
      <c r="A7" t="s">
        <v>14</v>
      </c>
      <c r="B7" t="s">
        <v>13</v>
      </c>
      <c r="C7" t="s">
        <v>7</v>
      </c>
      <c r="D7" s="142" t="s">
        <v>10</v>
      </c>
      <c r="E7" s="265" t="str">
        <f>IFERROR(IF(E6="","",E6),"")</f>
        <v/>
      </c>
    </row>
    <row r="8" spans="1:5" ht="15" customHeight="1" x14ac:dyDescent="0.25">
      <c r="A8" t="s">
        <v>11</v>
      </c>
      <c r="B8" t="s">
        <v>13</v>
      </c>
      <c r="C8" t="s">
        <v>7</v>
      </c>
      <c r="D8" s="142" t="s">
        <v>12</v>
      </c>
      <c r="E8" s="266" t="str">
        <f>IFERROR(IF(E4="","",E4),"")</f>
        <v/>
      </c>
    </row>
    <row r="9" spans="1:5" ht="15" customHeight="1" x14ac:dyDescent="0.25">
      <c r="A9" s="253" t="s">
        <v>15</v>
      </c>
      <c r="B9" s="254">
        <v>6</v>
      </c>
      <c r="C9" s="254" t="s">
        <v>16</v>
      </c>
      <c r="D9" s="142" t="s">
        <v>10</v>
      </c>
      <c r="E9" s="265" t="str">
        <f>IFERROR(IF(E3="","",E3),"")</f>
        <v/>
      </c>
    </row>
    <row r="10" spans="1:5" ht="15" customHeight="1" x14ac:dyDescent="0.25">
      <c r="A10" s="253" t="s">
        <v>17</v>
      </c>
      <c r="B10" s="254">
        <v>6</v>
      </c>
      <c r="C10" s="254" t="s">
        <v>16</v>
      </c>
      <c r="D10" s="142" t="s">
        <v>18</v>
      </c>
      <c r="E10" s="265" t="str">
        <f>IFERROR(IF(UC_DADOS!B2="","",UC_DADOS!B2),"")</f>
        <v/>
      </c>
    </row>
    <row r="11" spans="1:5" ht="15" customHeight="1" x14ac:dyDescent="0.25">
      <c r="A11" s="253" t="s">
        <v>19</v>
      </c>
      <c r="B11" s="254">
        <v>6</v>
      </c>
      <c r="C11" s="254" t="s">
        <v>16</v>
      </c>
      <c r="D11" s="142" t="s">
        <v>20</v>
      </c>
      <c r="E11" s="265" t="str">
        <f>IFERROR(IF(UC_DADOS!B3="","",UC_DADOS!B3),"")</f>
        <v/>
      </c>
    </row>
    <row r="12" spans="1:5" ht="15" customHeight="1" x14ac:dyDescent="0.25">
      <c r="A12" s="253" t="s">
        <v>21</v>
      </c>
      <c r="B12" s="254">
        <v>6</v>
      </c>
      <c r="C12" s="254" t="s">
        <v>16</v>
      </c>
      <c r="D12" s="142" t="s">
        <v>22</v>
      </c>
      <c r="E12" s="265" t="str">
        <f>IFERROR(IF(UC_DADOS!B4="","",UC_DADOS!B4),"")</f>
        <v/>
      </c>
    </row>
    <row r="13" spans="1:5" ht="15" customHeight="1" x14ac:dyDescent="0.25">
      <c r="A13" s="253" t="s">
        <v>23</v>
      </c>
      <c r="B13" s="254">
        <v>6</v>
      </c>
      <c r="C13" s="254" t="s">
        <v>16</v>
      </c>
      <c r="D13" s="142" t="s">
        <v>24</v>
      </c>
      <c r="E13" s="265" t="str">
        <f>IFERROR(IF(UC_DADOS!B6="","",UC_DADOS!B6),"")</f>
        <v/>
      </c>
    </row>
    <row r="14" spans="1:5" ht="15" customHeight="1" x14ac:dyDescent="0.25">
      <c r="A14" s="253" t="s">
        <v>25</v>
      </c>
      <c r="B14" s="254">
        <v>6</v>
      </c>
      <c r="C14" s="254" t="s">
        <v>16</v>
      </c>
      <c r="D14" s="142" t="s">
        <v>26</v>
      </c>
      <c r="E14" s="265" t="str">
        <f>IFERROR(IF(UC_DADOS!B7="","",UC_DADOS!B7),"")</f>
        <v/>
      </c>
    </row>
    <row r="15" spans="1:5" ht="15" customHeight="1" x14ac:dyDescent="0.25">
      <c r="A15" s="253" t="s">
        <v>27</v>
      </c>
      <c r="B15" s="254">
        <v>6</v>
      </c>
      <c r="C15" s="254" t="s">
        <v>16</v>
      </c>
      <c r="D15" s="142" t="s">
        <v>28</v>
      </c>
      <c r="E15" s="267" t="str">
        <f>IFERROR(IF(UC_DADOS!B9="","",UC_DADOS!B9),"")</f>
        <v/>
      </c>
    </row>
    <row r="16" spans="1:5" ht="15" customHeight="1" x14ac:dyDescent="0.25">
      <c r="A16" t="s">
        <v>29</v>
      </c>
      <c r="B16" s="143">
        <v>8</v>
      </c>
      <c r="C16" s="143" t="s">
        <v>30</v>
      </c>
      <c r="D16" s="142" t="s">
        <v>31</v>
      </c>
      <c r="E16" s="265" t="str">
        <f>IFERROR(IF(UC_DADOS!B5="","",UC_DADOS!B5),"")</f>
        <v/>
      </c>
    </row>
    <row r="17" spans="1:5" ht="15" customHeight="1" x14ac:dyDescent="0.25">
      <c r="A17" s="255" t="s">
        <v>32</v>
      </c>
      <c r="B17" s="256">
        <v>11</v>
      </c>
      <c r="C17" s="256" t="s">
        <v>33</v>
      </c>
      <c r="D17" s="142" t="s">
        <v>34</v>
      </c>
      <c r="E17" s="268" t="str">
        <f>IFERROR(IF(TABELAS_RESUMO!B12="","",TABELAS_RESUMO!B12),"")</f>
        <v>Substituição por LED e sensores</v>
      </c>
    </row>
    <row r="18" spans="1:5" ht="15" customHeight="1" x14ac:dyDescent="0.25">
      <c r="A18" s="255" t="s">
        <v>35</v>
      </c>
      <c r="B18" s="256">
        <v>11</v>
      </c>
      <c r="C18" s="256" t="s">
        <v>33</v>
      </c>
      <c r="D18" s="142" t="s">
        <v>36</v>
      </c>
      <c r="E18" s="268" t="str">
        <f>IFERROR(IF(TABELAS_RESUMO!B13="","",TABELAS_RESUMO!B13),"")</f>
        <v>Troca de aparelhos de ar-condicionado e automação</v>
      </c>
    </row>
    <row r="19" spans="1:5" ht="15" customHeight="1" x14ac:dyDescent="0.25">
      <c r="A19" s="255" t="s">
        <v>37</v>
      </c>
      <c r="B19" s="256">
        <v>11</v>
      </c>
      <c r="C19" s="256" t="s">
        <v>33</v>
      </c>
      <c r="D19" s="142" t="s">
        <v>38</v>
      </c>
      <c r="E19" s="268" t="str">
        <f>IFERROR(IF(TABELAS_RESUMO!B14="","",TABELAS_RESUMO!B14),"")</f>
        <v>Substituição por motores de alto rendimento</v>
      </c>
    </row>
    <row r="20" spans="1:5" ht="15" customHeight="1" x14ac:dyDescent="0.25">
      <c r="A20" s="255" t="s">
        <v>39</v>
      </c>
      <c r="B20" s="256">
        <v>11</v>
      </c>
      <c r="C20" s="256" t="s">
        <v>33</v>
      </c>
      <c r="D20" s="142" t="s">
        <v>40</v>
      </c>
      <c r="E20" s="268" t="str">
        <f>IFERROR(IF(TABELAS_RESUMO!B15="","",TABELAS_RESUMO!B15),"")</f>
        <v>Troca de refrigeradores comerciais ineficientes</v>
      </c>
    </row>
    <row r="21" spans="1:5" ht="15" customHeight="1" x14ac:dyDescent="0.25">
      <c r="A21" s="255" t="s">
        <v>41</v>
      </c>
      <c r="B21" s="256">
        <v>11</v>
      </c>
      <c r="C21" s="256" t="s">
        <v>33</v>
      </c>
      <c r="D21" s="142" t="s">
        <v>42</v>
      </c>
      <c r="E21" s="268" t="str">
        <f>IFERROR(IF(TABELAS_RESUMO!B16="","",TABELAS_RESUMO!B16),"")</f>
        <v>Sistema conectado à rede (GD)</v>
      </c>
    </row>
    <row r="22" spans="1:5" ht="15" customHeight="1" x14ac:dyDescent="0.25">
      <c r="A22" s="257" t="s">
        <v>43</v>
      </c>
      <c r="B22" s="258">
        <v>11</v>
      </c>
      <c r="C22" s="258" t="s">
        <v>33</v>
      </c>
      <c r="D22" s="142" t="s">
        <v>44</v>
      </c>
      <c r="E22" s="269" t="str">
        <f>IFERROR(IF(TABELAS_RESUMO!C12="","",TABELAS_RESUMO!C12),"")</f>
        <v/>
      </c>
    </row>
    <row r="23" spans="1:5" ht="15" customHeight="1" x14ac:dyDescent="0.25">
      <c r="A23" s="257" t="s">
        <v>45</v>
      </c>
      <c r="B23" s="258">
        <v>11</v>
      </c>
      <c r="C23" s="258" t="s">
        <v>33</v>
      </c>
      <c r="D23" s="142" t="s">
        <v>46</v>
      </c>
      <c r="E23" s="269" t="str">
        <f>IFERROR(IF(TABELAS_RESUMO!C13="","",TABELAS_RESUMO!C13),"")</f>
        <v/>
      </c>
    </row>
    <row r="24" spans="1:5" ht="15" customHeight="1" x14ac:dyDescent="0.25">
      <c r="A24" s="257" t="s">
        <v>47</v>
      </c>
      <c r="B24" s="258">
        <v>11</v>
      </c>
      <c r="C24" s="258" t="s">
        <v>33</v>
      </c>
      <c r="D24" s="142" t="s">
        <v>48</v>
      </c>
      <c r="E24" s="269" t="str">
        <f>IFERROR(IF(TABELAS_RESUMO!C14="","",TABELAS_RESUMO!C14),"")</f>
        <v/>
      </c>
    </row>
    <row r="25" spans="1:5" ht="15" customHeight="1" x14ac:dyDescent="0.25">
      <c r="A25" s="257" t="s">
        <v>49</v>
      </c>
      <c r="B25" s="258">
        <v>11</v>
      </c>
      <c r="C25" s="258" t="s">
        <v>33</v>
      </c>
      <c r="D25" s="142" t="s">
        <v>50</v>
      </c>
      <c r="E25" s="269" t="str">
        <f>IFERROR(IF(TABELAS_RESUMO!C15="","",TABELAS_RESUMO!C15),"")</f>
        <v/>
      </c>
    </row>
    <row r="26" spans="1:5" ht="15" customHeight="1" x14ac:dyDescent="0.25">
      <c r="A26" s="257" t="s">
        <v>51</v>
      </c>
      <c r="B26" s="258">
        <v>11</v>
      </c>
      <c r="C26" s="258" t="s">
        <v>33</v>
      </c>
      <c r="D26" s="142" t="s">
        <v>52</v>
      </c>
      <c r="E26" s="269" t="str">
        <f>IFERROR(IF(TABELAS_RESUMO!C16="","",TABELAS_RESUMO!C16),"")</f>
        <v/>
      </c>
    </row>
    <row r="27" spans="1:5" ht="15" customHeight="1" x14ac:dyDescent="0.25">
      <c r="A27" s="257" t="s">
        <v>53</v>
      </c>
      <c r="B27" s="258">
        <v>11</v>
      </c>
      <c r="C27" s="258" t="s">
        <v>33</v>
      </c>
      <c r="D27" s="142" t="s">
        <v>54</v>
      </c>
      <c r="E27" s="269" t="str">
        <f>IFERROR(IF(TABELAS_RESUMO!C17="","",TABELAS_RESUMO!C17),"")</f>
        <v/>
      </c>
    </row>
    <row r="28" spans="1:5" ht="15" customHeight="1" x14ac:dyDescent="0.25">
      <c r="A28" s="257" t="s">
        <v>55</v>
      </c>
      <c r="B28" s="258">
        <v>11</v>
      </c>
      <c r="C28" s="258" t="s">
        <v>33</v>
      </c>
      <c r="D28" s="142" t="s">
        <v>56</v>
      </c>
      <c r="E28" s="269" t="str">
        <f>IFERROR(IF(TABELAS_RESUMO!D12="","",TABELAS_RESUMO!D12),"")</f>
        <v/>
      </c>
    </row>
    <row r="29" spans="1:5" ht="15" customHeight="1" x14ac:dyDescent="0.25">
      <c r="A29" s="257" t="s">
        <v>57</v>
      </c>
      <c r="B29" s="258">
        <v>11</v>
      </c>
      <c r="C29" s="258" t="s">
        <v>33</v>
      </c>
      <c r="D29" s="142" t="s">
        <v>58</v>
      </c>
      <c r="E29" s="269" t="str">
        <f>IFERROR(IF(TABELAS_RESUMO!D13="","",TABELAS_RESUMO!D13),"")</f>
        <v/>
      </c>
    </row>
    <row r="30" spans="1:5" ht="15" customHeight="1" x14ac:dyDescent="0.25">
      <c r="A30" s="257" t="s">
        <v>59</v>
      </c>
      <c r="B30" s="258">
        <v>11</v>
      </c>
      <c r="C30" s="258" t="s">
        <v>33</v>
      </c>
      <c r="D30" s="142" t="s">
        <v>60</v>
      </c>
      <c r="E30" s="269" t="str">
        <f>IFERROR(IF(TABELAS_RESUMO!D14="","",TABELAS_RESUMO!D14),"")</f>
        <v/>
      </c>
    </row>
    <row r="31" spans="1:5" ht="15" customHeight="1" x14ac:dyDescent="0.25">
      <c r="A31" s="257" t="s">
        <v>61</v>
      </c>
      <c r="B31" s="258">
        <v>11</v>
      </c>
      <c r="C31" s="258" t="s">
        <v>33</v>
      </c>
      <c r="D31" s="142" t="s">
        <v>62</v>
      </c>
      <c r="E31" s="269" t="str">
        <f>IFERROR(IF(TABELAS_RESUMO!D15="","",TABELAS_RESUMO!D15),"")</f>
        <v/>
      </c>
    </row>
    <row r="32" spans="1:5" ht="15" customHeight="1" x14ac:dyDescent="0.25">
      <c r="A32" s="257" t="s">
        <v>63</v>
      </c>
      <c r="B32" s="258">
        <v>11</v>
      </c>
      <c r="C32" s="258" t="s">
        <v>33</v>
      </c>
      <c r="D32" s="142" t="s">
        <v>64</v>
      </c>
      <c r="E32" s="269" t="str">
        <f>IFERROR(IF(TABELAS_RESUMO!D16="","",TABELAS_RESUMO!D16),"")</f>
        <v/>
      </c>
    </row>
    <row r="33" spans="1:6" ht="15" customHeight="1" x14ac:dyDescent="0.25">
      <c r="A33" s="257" t="s">
        <v>65</v>
      </c>
      <c r="B33" s="258">
        <v>11</v>
      </c>
      <c r="C33" s="258" t="s">
        <v>33</v>
      </c>
      <c r="D33" s="142" t="s">
        <v>66</v>
      </c>
      <c r="E33" s="269" t="str">
        <f>IFERROR(IF(TABELAS_RESUMO!D17="","",TABELAS_RESUMO!D17),"")</f>
        <v/>
      </c>
    </row>
    <row r="34" spans="1:6" ht="15" customHeight="1" x14ac:dyDescent="0.25">
      <c r="A34" s="257" t="s">
        <v>67</v>
      </c>
      <c r="B34" s="258">
        <v>11</v>
      </c>
      <c r="C34" s="258" t="s">
        <v>33</v>
      </c>
      <c r="D34" s="142" t="s">
        <v>68</v>
      </c>
      <c r="E34" s="269" t="str">
        <f>IFERROR(IF(TABELAS_RESUMO!E12="","",TABELAS_RESUMO!E12),"")</f>
        <v/>
      </c>
    </row>
    <row r="35" spans="1:6" ht="15" customHeight="1" x14ac:dyDescent="0.25">
      <c r="A35" s="257" t="s">
        <v>69</v>
      </c>
      <c r="B35" s="258">
        <v>11</v>
      </c>
      <c r="C35" s="258" t="s">
        <v>33</v>
      </c>
      <c r="D35" s="142" t="s">
        <v>70</v>
      </c>
      <c r="E35" s="269" t="str">
        <f>IFERROR(IF(TABELAS_RESUMO!E13="","",TABELAS_RESUMO!E13),"")</f>
        <v/>
      </c>
    </row>
    <row r="36" spans="1:6" ht="15" customHeight="1" x14ac:dyDescent="0.25">
      <c r="A36" s="257" t="s">
        <v>71</v>
      </c>
      <c r="B36" s="258">
        <v>11</v>
      </c>
      <c r="C36" s="258" t="s">
        <v>33</v>
      </c>
      <c r="D36" s="142" t="s">
        <v>72</v>
      </c>
      <c r="E36" s="269" t="str">
        <f>IFERROR(IF(TABELAS_RESUMO!E14="","",TABELAS_RESUMO!E14),"")</f>
        <v/>
      </c>
    </row>
    <row r="37" spans="1:6" ht="15" customHeight="1" x14ac:dyDescent="0.25">
      <c r="A37" s="257" t="s">
        <v>73</v>
      </c>
      <c r="B37" s="258">
        <v>11</v>
      </c>
      <c r="C37" s="258" t="s">
        <v>33</v>
      </c>
      <c r="D37" s="142" t="s">
        <v>74</v>
      </c>
      <c r="E37" s="269" t="str">
        <f>IFERROR(IF(TABELAS_RESUMO!E15="","",TABELAS_RESUMO!E15),"")</f>
        <v/>
      </c>
    </row>
    <row r="38" spans="1:6" ht="15" customHeight="1" x14ac:dyDescent="0.25">
      <c r="A38" s="257" t="s">
        <v>75</v>
      </c>
      <c r="B38" s="258">
        <v>11</v>
      </c>
      <c r="C38" s="258" t="s">
        <v>33</v>
      </c>
      <c r="D38" s="142" t="s">
        <v>76</v>
      </c>
      <c r="E38" s="269" t="str">
        <f>IFERROR(IF(TABELAS_RESUMO!E16="","",TABELAS_RESUMO!E16),"")</f>
        <v/>
      </c>
    </row>
    <row r="39" spans="1:6" x14ac:dyDescent="0.25">
      <c r="A39" s="257" t="s">
        <v>77</v>
      </c>
      <c r="B39" s="258">
        <v>11</v>
      </c>
      <c r="C39" s="258" t="s">
        <v>33</v>
      </c>
      <c r="D39" s="142" t="s">
        <v>78</v>
      </c>
      <c r="E39" s="269" t="str">
        <f>IFERROR(IF(TABELAS_RESUMO!E17="","",TABELAS_RESUMO!E17),"")</f>
        <v/>
      </c>
    </row>
    <row r="40" spans="1:6" x14ac:dyDescent="0.25">
      <c r="A40" t="s">
        <v>15</v>
      </c>
      <c r="B40" s="143">
        <v>12</v>
      </c>
      <c r="C40" s="143" t="s">
        <v>79</v>
      </c>
      <c r="D40" s="142" t="s">
        <v>10</v>
      </c>
      <c r="E40" s="265" t="str">
        <f>IFERROR(IF(E3="","",E3),"")</f>
        <v/>
      </c>
    </row>
    <row r="41" spans="1:6" ht="15" customHeight="1" x14ac:dyDescent="0.25">
      <c r="A41" s="259" t="s">
        <v>80</v>
      </c>
      <c r="B41" s="260">
        <v>20</v>
      </c>
      <c r="C41" s="260" t="s">
        <v>81</v>
      </c>
      <c r="D41" s="142" t="s">
        <v>82</v>
      </c>
      <c r="E41" s="265" t="str">
        <f>IFERROR(IF(UC_DADOS!B29="","",UC_DADOS!B29),"")</f>
        <v/>
      </c>
    </row>
    <row r="42" spans="1:6" ht="15" customHeight="1" x14ac:dyDescent="0.25">
      <c r="A42" s="259" t="s">
        <v>83</v>
      </c>
      <c r="B42" s="260">
        <v>20</v>
      </c>
      <c r="C42" s="260" t="s">
        <v>81</v>
      </c>
      <c r="D42" s="142" t="s">
        <v>84</v>
      </c>
      <c r="E42" s="265" t="str">
        <f>IFERROR(IF(UC_DADOS!B18="","",UC_DADOS!B18),"")</f>
        <v/>
      </c>
    </row>
    <row r="43" spans="1:6" ht="15" customHeight="1" x14ac:dyDescent="0.25">
      <c r="A43" s="259" t="s">
        <v>85</v>
      </c>
      <c r="B43" s="260">
        <v>20</v>
      </c>
      <c r="C43" s="260" t="s">
        <v>81</v>
      </c>
      <c r="D43" s="142" t="s">
        <v>86</v>
      </c>
      <c r="E43" s="265" t="str">
        <f>IFERROR(IF(UC_DADOS!B19="","",UC_DADOS!B19),"")</f>
        <v/>
      </c>
    </row>
    <row r="44" spans="1:6" ht="15" customHeight="1" x14ac:dyDescent="0.25">
      <c r="A44" s="259" t="s">
        <v>87</v>
      </c>
      <c r="B44" s="260">
        <v>20</v>
      </c>
      <c r="C44" s="260" t="s">
        <v>81</v>
      </c>
      <c r="D44" s="142" t="s">
        <v>88</v>
      </c>
      <c r="E44" s="265" t="str">
        <f>IFERROR(IF(UC_DADOS!B20="","",UC_DADOS!B20),"")</f>
        <v/>
      </c>
    </row>
    <row r="45" spans="1:6" ht="15" customHeight="1" x14ac:dyDescent="0.25">
      <c r="A45" s="259" t="s">
        <v>89</v>
      </c>
      <c r="B45" s="260">
        <v>20</v>
      </c>
      <c r="C45" s="260" t="s">
        <v>81</v>
      </c>
      <c r="D45" s="142" t="s">
        <v>18</v>
      </c>
      <c r="E45" s="265" t="str">
        <f>IFERROR(IF(UC_DADOS!B21="","",UC_DADOS!B21),"")</f>
        <v/>
      </c>
    </row>
    <row r="46" spans="1:6" ht="15.75" thickBot="1" x14ac:dyDescent="0.3">
      <c r="A46" s="259" t="s">
        <v>90</v>
      </c>
      <c r="B46" s="260">
        <v>20</v>
      </c>
      <c r="C46" s="260" t="s">
        <v>81</v>
      </c>
      <c r="D46" s="142" t="s">
        <v>91</v>
      </c>
      <c r="E46" s="265" t="str">
        <f>IFERROR(IF(UC_DADOS!B22="","",UC_DADOS!B22),"")</f>
        <v/>
      </c>
    </row>
    <row r="47" spans="1:6" ht="15" customHeight="1" x14ac:dyDescent="0.25">
      <c r="A47" s="272" t="s">
        <v>92</v>
      </c>
      <c r="B47" s="273">
        <v>21</v>
      </c>
      <c r="C47" s="273" t="s">
        <v>81</v>
      </c>
      <c r="D47" s="274" t="s">
        <v>93</v>
      </c>
      <c r="E47" s="349" t="str">
        <f>IFERROR(IF(CONSUMO_EQP!$C$2="","",CONSUMO_EQP!$C$2),"")</f>
        <v/>
      </c>
      <c r="F47" s="427" t="s">
        <v>94</v>
      </c>
    </row>
    <row r="48" spans="1:6" ht="15" customHeight="1" x14ac:dyDescent="0.25">
      <c r="A48" s="275" t="s">
        <v>95</v>
      </c>
      <c r="B48" s="343">
        <v>21</v>
      </c>
      <c r="C48" s="343" t="s">
        <v>81</v>
      </c>
      <c r="D48" s="142" t="s">
        <v>96</v>
      </c>
      <c r="E48" s="269" t="str">
        <f>IFERROR(IF(CONSUMO_EQP!$C$3="","",CONSUMO_EQP!$C$3),"")</f>
        <v/>
      </c>
      <c r="F48" s="428"/>
    </row>
    <row r="49" spans="1:6" ht="15" customHeight="1" x14ac:dyDescent="0.25">
      <c r="A49" s="275" t="s">
        <v>97</v>
      </c>
      <c r="B49" s="343">
        <v>21</v>
      </c>
      <c r="C49" s="343" t="s">
        <v>81</v>
      </c>
      <c r="D49" s="142" t="s">
        <v>98</v>
      </c>
      <c r="E49" s="269" t="str">
        <f>IFERROR(IF(CONSUMO_EQP!$C$4="","",CONSUMO_EQP!$C$4),"")</f>
        <v/>
      </c>
      <c r="F49" s="428"/>
    </row>
    <row r="50" spans="1:6" ht="15" customHeight="1" x14ac:dyDescent="0.25">
      <c r="A50" s="275" t="s">
        <v>99</v>
      </c>
      <c r="B50" s="343">
        <v>21</v>
      </c>
      <c r="C50" s="343" t="s">
        <v>81</v>
      </c>
      <c r="D50" s="142" t="s">
        <v>100</v>
      </c>
      <c r="E50" s="350" t="str">
        <f>IFERROR(IF(CONSUMO_EQP!$C$5="","",CONSUMO_EQP!$C$5),"")</f>
        <v/>
      </c>
      <c r="F50" s="428"/>
    </row>
    <row r="51" spans="1:6" ht="15" customHeight="1" x14ac:dyDescent="0.25">
      <c r="A51" s="275" t="s">
        <v>101</v>
      </c>
      <c r="B51" s="343">
        <v>21</v>
      </c>
      <c r="C51" s="343" t="s">
        <v>81</v>
      </c>
      <c r="D51" s="142" t="s">
        <v>102</v>
      </c>
      <c r="E51" s="269" t="str">
        <f>IFERROR(IF(CONSUMO_EQP!$C$6="","",CONSUMO_EQP!$C$6),"")</f>
        <v/>
      </c>
      <c r="F51" s="428"/>
    </row>
    <row r="52" spans="1:6" ht="15" customHeight="1" thickBot="1" x14ac:dyDescent="0.3">
      <c r="A52" s="344" t="s">
        <v>103</v>
      </c>
      <c r="B52" s="345">
        <v>21</v>
      </c>
      <c r="C52" s="345" t="s">
        <v>81</v>
      </c>
      <c r="D52" s="276" t="s">
        <v>104</v>
      </c>
      <c r="E52" s="351" t="str">
        <f>IFERROR(IF(CONSUMO_EQP!$C$7="","",CONSUMO_EQP!$C$7),"")</f>
        <v/>
      </c>
      <c r="F52" s="429"/>
    </row>
    <row r="53" spans="1:6" ht="15" customHeight="1" thickBot="1" x14ac:dyDescent="0.3">
      <c r="A53" s="352" t="s">
        <v>105</v>
      </c>
      <c r="B53" s="353">
        <v>21</v>
      </c>
      <c r="C53" s="353" t="s">
        <v>81</v>
      </c>
      <c r="D53" s="354" t="s">
        <v>106</v>
      </c>
      <c r="E53" s="355" t="s">
        <v>94</v>
      </c>
      <c r="F53" s="356"/>
    </row>
    <row r="54" spans="1:6" ht="15" customHeight="1" x14ac:dyDescent="0.25">
      <c r="A54" s="261" t="s">
        <v>107</v>
      </c>
      <c r="B54" s="262">
        <v>22</v>
      </c>
      <c r="C54" s="262" t="s">
        <v>108</v>
      </c>
      <c r="D54" s="142" t="s">
        <v>109</v>
      </c>
      <c r="E54" s="265" t="str">
        <f>IFERROR(IF(UC_DADOS!A12="","",UC_DADOS!A12),"")</f>
        <v>Alunos</v>
      </c>
    </row>
    <row r="55" spans="1:6" ht="15" customHeight="1" x14ac:dyDescent="0.25">
      <c r="A55" s="261" t="s">
        <v>110</v>
      </c>
      <c r="B55" s="262">
        <v>22</v>
      </c>
      <c r="C55" s="262" t="s">
        <v>108</v>
      </c>
      <c r="D55" s="142" t="s">
        <v>111</v>
      </c>
      <c r="E55" s="265" t="str">
        <f>IFERROR(IF(UC_DADOS!B12="","",UC_DADOS!B12),"")</f>
        <v/>
      </c>
    </row>
    <row r="56" spans="1:6" ht="15" customHeight="1" x14ac:dyDescent="0.25">
      <c r="A56" s="261" t="s">
        <v>112</v>
      </c>
      <c r="B56" s="262">
        <v>22</v>
      </c>
      <c r="C56" s="262" t="s">
        <v>108</v>
      </c>
      <c r="D56" s="142" t="s">
        <v>113</v>
      </c>
      <c r="E56" s="270" t="str">
        <f>IFERROR(IF(UC_DADOS!B13="","",UC_DADOS!B13),"")</f>
        <v/>
      </c>
    </row>
    <row r="57" spans="1:6" ht="15" customHeight="1" x14ac:dyDescent="0.25">
      <c r="A57" s="261" t="s">
        <v>114</v>
      </c>
      <c r="B57" s="262">
        <v>22</v>
      </c>
      <c r="C57" s="262" t="s">
        <v>108</v>
      </c>
      <c r="D57" s="142" t="s">
        <v>115</v>
      </c>
      <c r="E57" s="270" t="str">
        <f>IFERROR(IF(UC_DADOS!B14="","",UC_DADOS!B14),"")</f>
        <v/>
      </c>
    </row>
    <row r="58" spans="1:6" ht="15" customHeight="1" x14ac:dyDescent="0.25">
      <c r="A58" t="s">
        <v>116</v>
      </c>
      <c r="B58" s="143">
        <v>23</v>
      </c>
      <c r="C58" s="143" t="s">
        <v>117</v>
      </c>
      <c r="D58" s="142" t="s">
        <v>82</v>
      </c>
      <c r="E58" s="265" t="str">
        <f>IFERROR(IF(UC_DADOS!B29="","",UC_DADOS!B29),"")</f>
        <v/>
      </c>
    </row>
    <row r="59" spans="1:6" ht="15" customHeight="1" x14ac:dyDescent="0.25">
      <c r="A59" t="s">
        <v>83</v>
      </c>
      <c r="B59" s="143">
        <v>23</v>
      </c>
      <c r="C59" s="143" t="s">
        <v>117</v>
      </c>
      <c r="D59" s="142" t="s">
        <v>84</v>
      </c>
      <c r="E59" s="265" t="str">
        <f>IFERROR(IF(E42="","",E42),"")</f>
        <v/>
      </c>
    </row>
    <row r="60" spans="1:6" ht="15" customHeight="1" x14ac:dyDescent="0.25">
      <c r="A60" t="s">
        <v>118</v>
      </c>
      <c r="B60" s="143">
        <v>23</v>
      </c>
      <c r="C60" s="143" t="s">
        <v>117</v>
      </c>
      <c r="D60" s="142" t="s">
        <v>86</v>
      </c>
      <c r="E60" s="265" t="str">
        <f>IFERROR(IF(E43="","",E43),"")</f>
        <v/>
      </c>
    </row>
    <row r="61" spans="1:6" ht="15" customHeight="1" x14ac:dyDescent="0.25">
      <c r="A61" t="s">
        <v>119</v>
      </c>
      <c r="B61" s="143">
        <v>23</v>
      </c>
      <c r="C61" s="143" t="s">
        <v>117</v>
      </c>
      <c r="D61" s="142" t="s">
        <v>120</v>
      </c>
      <c r="E61" s="267" t="str">
        <f>IFERROR(IF(UC_DADOS!D37="","",UC_DADOS!D37),"")</f>
        <v/>
      </c>
    </row>
    <row r="62" spans="1:6" ht="15" customHeight="1" x14ac:dyDescent="0.25">
      <c r="A62" t="s">
        <v>121</v>
      </c>
      <c r="B62" s="143">
        <v>23</v>
      </c>
      <c r="C62" s="143" t="s">
        <v>117</v>
      </c>
      <c r="D62" s="142" t="s">
        <v>122</v>
      </c>
      <c r="E62" s="267" t="str">
        <f>IFERROR(IF(UC_DADOS!D48="","",UC_DADOS!D48),"")</f>
        <v/>
      </c>
    </row>
    <row r="63" spans="1:6" ht="15" customHeight="1" x14ac:dyDescent="0.25">
      <c r="A63" t="s">
        <v>123</v>
      </c>
      <c r="B63" s="143">
        <v>23</v>
      </c>
      <c r="C63" s="143" t="s">
        <v>117</v>
      </c>
      <c r="D63" s="142" t="s">
        <v>124</v>
      </c>
      <c r="E63" s="265">
        <f>IFERROR(IF(UC_DADOS!B33="","",UC_DADOS!B33),"")</f>
        <v>0</v>
      </c>
    </row>
    <row r="64" spans="1:6" ht="15" customHeight="1" x14ac:dyDescent="0.25">
      <c r="A64" t="s">
        <v>125</v>
      </c>
      <c r="B64" s="143">
        <v>23</v>
      </c>
      <c r="C64" s="143" t="s">
        <v>117</v>
      </c>
      <c r="D64" s="142" t="s">
        <v>126</v>
      </c>
      <c r="E64" s="270">
        <f>IFERROR(IF(UC_DADOS!B32="","",UC_DADOS!B32),"")</f>
        <v>0</v>
      </c>
    </row>
    <row r="65" spans="1:6" ht="15" customHeight="1" x14ac:dyDescent="0.25">
      <c r="A65" s="271" t="s">
        <v>127</v>
      </c>
      <c r="B65" s="143">
        <v>23</v>
      </c>
      <c r="C65" s="143" t="s">
        <v>117</v>
      </c>
      <c r="D65" s="142" t="s">
        <v>128</v>
      </c>
      <c r="E65" s="267" t="str">
        <f>IFERROR(IF(UC_DADOS!D37="","",UC_DADOS!D37),"")</f>
        <v/>
      </c>
    </row>
    <row r="66" spans="1:6" ht="15" customHeight="1" x14ac:dyDescent="0.25">
      <c r="A66" s="271" t="s">
        <v>127</v>
      </c>
      <c r="B66" s="143">
        <v>23</v>
      </c>
      <c r="C66" s="143" t="s">
        <v>117</v>
      </c>
      <c r="D66" s="142" t="s">
        <v>129</v>
      </c>
      <c r="E66" s="267" t="str">
        <f>IFERROR(IF(UC_DADOS!D38="","",UC_DADOS!D38),"")</f>
        <v/>
      </c>
    </row>
    <row r="67" spans="1:6" ht="15" customHeight="1" x14ac:dyDescent="0.25">
      <c r="A67" s="271" t="s">
        <v>127</v>
      </c>
      <c r="B67" s="143">
        <v>23</v>
      </c>
      <c r="C67" s="143" t="s">
        <v>117</v>
      </c>
      <c r="D67" s="142" t="s">
        <v>130</v>
      </c>
      <c r="E67" s="265" t="str">
        <f>IFERROR(IF(UC_DADOS!D39="","",UC_DADOS!D39),"")</f>
        <v/>
      </c>
    </row>
    <row r="68" spans="1:6" ht="15" customHeight="1" x14ac:dyDescent="0.25">
      <c r="A68" s="271" t="s">
        <v>127</v>
      </c>
      <c r="B68" s="143">
        <v>23</v>
      </c>
      <c r="C68" s="143" t="s">
        <v>117</v>
      </c>
      <c r="D68" s="142" t="s">
        <v>131</v>
      </c>
      <c r="E68" s="265" t="str">
        <f>IFERROR(IF(UC_DADOS!D40="","",UC_DADOS!D40),"")</f>
        <v/>
      </c>
    </row>
    <row r="69" spans="1:6" ht="15" customHeight="1" x14ac:dyDescent="0.25">
      <c r="A69" s="271" t="s">
        <v>127</v>
      </c>
      <c r="B69" s="143">
        <v>23</v>
      </c>
      <c r="C69" s="143" t="s">
        <v>117</v>
      </c>
      <c r="D69" s="142" t="s">
        <v>132</v>
      </c>
      <c r="E69" s="265" t="str">
        <f>IFERROR(IF(UC_DADOS!D41="","",UC_DADOS!D41),"")</f>
        <v/>
      </c>
    </row>
    <row r="70" spans="1:6" ht="15" customHeight="1" x14ac:dyDescent="0.25">
      <c r="A70" s="271" t="s">
        <v>127</v>
      </c>
      <c r="B70" s="143">
        <v>23</v>
      </c>
      <c r="C70" s="143" t="s">
        <v>117</v>
      </c>
      <c r="D70" s="142" t="s">
        <v>133</v>
      </c>
      <c r="E70" s="265" t="str">
        <f>IFERROR(IF(UC_DADOS!D42="","",UC_DADOS!D42),"")</f>
        <v/>
      </c>
    </row>
    <row r="71" spans="1:6" ht="15" customHeight="1" x14ac:dyDescent="0.25">
      <c r="A71" s="271" t="s">
        <v>127</v>
      </c>
      <c r="B71" s="143">
        <v>23</v>
      </c>
      <c r="C71" s="143" t="s">
        <v>117</v>
      </c>
      <c r="D71" s="142" t="s">
        <v>134</v>
      </c>
      <c r="E71" s="265" t="str">
        <f>IFERROR(IF(UC_DADOS!D43="","",UC_DADOS!D43),"")</f>
        <v/>
      </c>
    </row>
    <row r="72" spans="1:6" ht="15" customHeight="1" x14ac:dyDescent="0.25">
      <c r="A72" s="271" t="s">
        <v>127</v>
      </c>
      <c r="B72" s="143">
        <v>23</v>
      </c>
      <c r="C72" s="143" t="s">
        <v>117</v>
      </c>
      <c r="D72" s="142" t="s">
        <v>135</v>
      </c>
      <c r="E72" s="265" t="str">
        <f>IFERROR(IF(UC_DADOS!D44="","",UC_DADOS!D44),"")</f>
        <v/>
      </c>
    </row>
    <row r="73" spans="1:6" ht="15" customHeight="1" x14ac:dyDescent="0.25">
      <c r="A73" s="271" t="s">
        <v>127</v>
      </c>
      <c r="B73" s="143">
        <v>23</v>
      </c>
      <c r="C73" s="143" t="s">
        <v>117</v>
      </c>
      <c r="D73" s="142" t="s">
        <v>136</v>
      </c>
      <c r="E73" s="265" t="str">
        <f>IFERROR(IF(UC_DADOS!D45="","",UC_DADOS!D45),"")</f>
        <v/>
      </c>
    </row>
    <row r="74" spans="1:6" ht="15" customHeight="1" x14ac:dyDescent="0.25">
      <c r="A74" s="271" t="s">
        <v>127</v>
      </c>
      <c r="B74" s="143">
        <v>23</v>
      </c>
      <c r="C74" s="143" t="s">
        <v>117</v>
      </c>
      <c r="D74" s="142" t="s">
        <v>137</v>
      </c>
      <c r="E74" s="265" t="str">
        <f>IFERROR(IF(UC_DADOS!D46="","",UC_DADOS!D46),"")</f>
        <v/>
      </c>
    </row>
    <row r="75" spans="1:6" ht="15" customHeight="1" x14ac:dyDescent="0.25">
      <c r="A75" s="271" t="s">
        <v>127</v>
      </c>
      <c r="B75" s="143">
        <v>23</v>
      </c>
      <c r="C75" s="143" t="s">
        <v>117</v>
      </c>
      <c r="D75" s="142" t="s">
        <v>138</v>
      </c>
      <c r="E75" s="265" t="str">
        <f>IFERROR(IF(UC_DADOS!D47="","",UC_DADOS!D47),"")</f>
        <v/>
      </c>
    </row>
    <row r="76" spans="1:6" ht="15" customHeight="1" thickBot="1" x14ac:dyDescent="0.3">
      <c r="A76" s="271" t="s">
        <v>127</v>
      </c>
      <c r="B76" s="143">
        <v>23</v>
      </c>
      <c r="C76" s="143" t="s">
        <v>117</v>
      </c>
      <c r="D76" s="142" t="s">
        <v>139</v>
      </c>
      <c r="E76" s="265" t="str">
        <f>IFERROR(IF(UC_DADOS!D48="","",UC_DADOS!D48),"")</f>
        <v/>
      </c>
    </row>
    <row r="77" spans="1:6" ht="15" customHeight="1" x14ac:dyDescent="0.25">
      <c r="A77" s="334" t="s">
        <v>140</v>
      </c>
      <c r="B77" s="335">
        <v>23</v>
      </c>
      <c r="C77" s="335" t="s">
        <v>117</v>
      </c>
      <c r="D77" s="274" t="s">
        <v>141</v>
      </c>
      <c r="E77" s="341">
        <f>IFERROR(IF(UC_DADOS!E37="","",UC_DADOS!E37),"")</f>
        <v>0</v>
      </c>
      <c r="F77" s="430" t="s">
        <v>142</v>
      </c>
    </row>
    <row r="78" spans="1:6" ht="15" customHeight="1" x14ac:dyDescent="0.25">
      <c r="A78" s="337" t="s">
        <v>143</v>
      </c>
      <c r="B78" s="143">
        <v>23</v>
      </c>
      <c r="C78" s="143" t="s">
        <v>117</v>
      </c>
      <c r="D78" s="142" t="s">
        <v>144</v>
      </c>
      <c r="E78" s="265">
        <f>IFERROR(IF(UC_DADOS!E38="","",UC_DADOS!E38),"")</f>
        <v>0</v>
      </c>
      <c r="F78" s="431"/>
    </row>
    <row r="79" spans="1:6" ht="15" customHeight="1" x14ac:dyDescent="0.25">
      <c r="A79" s="337" t="s">
        <v>145</v>
      </c>
      <c r="B79" s="143">
        <v>23</v>
      </c>
      <c r="C79" s="143" t="s">
        <v>117</v>
      </c>
      <c r="D79" s="142" t="s">
        <v>146</v>
      </c>
      <c r="E79" s="265">
        <f>IFERROR(IF(UC_DADOS!E39="","",UC_DADOS!E39),"")</f>
        <v>0</v>
      </c>
      <c r="F79" s="431"/>
    </row>
    <row r="80" spans="1:6" ht="15" customHeight="1" x14ac:dyDescent="0.25">
      <c r="A80" s="337" t="s">
        <v>147</v>
      </c>
      <c r="B80" s="143">
        <v>23</v>
      </c>
      <c r="C80" s="143" t="s">
        <v>117</v>
      </c>
      <c r="D80" s="142" t="s">
        <v>148</v>
      </c>
      <c r="E80" s="265">
        <f>IFERROR(IF(UC_DADOS!E40="","",UC_DADOS!E40),"")</f>
        <v>0</v>
      </c>
      <c r="F80" s="431"/>
    </row>
    <row r="81" spans="1:6" ht="15" customHeight="1" x14ac:dyDescent="0.25">
      <c r="A81" s="337" t="s">
        <v>149</v>
      </c>
      <c r="B81" s="143">
        <v>23</v>
      </c>
      <c r="C81" s="143" t="s">
        <v>117</v>
      </c>
      <c r="D81" s="142" t="s">
        <v>150</v>
      </c>
      <c r="E81" s="265">
        <f>IFERROR(IF(UC_DADOS!E41="","",UC_DADOS!E41),"")</f>
        <v>0</v>
      </c>
      <c r="F81" s="431"/>
    </row>
    <row r="82" spans="1:6" ht="15" customHeight="1" x14ac:dyDescent="0.25">
      <c r="A82" s="337" t="s">
        <v>151</v>
      </c>
      <c r="B82" s="143">
        <v>23</v>
      </c>
      <c r="C82" s="143" t="s">
        <v>117</v>
      </c>
      <c r="D82" s="142" t="s">
        <v>152</v>
      </c>
      <c r="E82" s="265">
        <f>IFERROR(IF(UC_DADOS!E42="","",UC_DADOS!E42),"")</f>
        <v>0</v>
      </c>
      <c r="F82" s="431"/>
    </row>
    <row r="83" spans="1:6" ht="15" customHeight="1" x14ac:dyDescent="0.25">
      <c r="A83" s="337" t="s">
        <v>153</v>
      </c>
      <c r="B83" s="143">
        <v>23</v>
      </c>
      <c r="C83" s="143" t="s">
        <v>117</v>
      </c>
      <c r="D83" s="142" t="s">
        <v>154</v>
      </c>
      <c r="E83" s="265">
        <f>IFERROR(IF(UC_DADOS!E43="","",UC_DADOS!E43),"")</f>
        <v>0</v>
      </c>
      <c r="F83" s="431"/>
    </row>
    <row r="84" spans="1:6" ht="15" customHeight="1" x14ac:dyDescent="0.25">
      <c r="A84" s="337" t="s">
        <v>155</v>
      </c>
      <c r="B84" s="143">
        <v>23</v>
      </c>
      <c r="C84" s="143" t="s">
        <v>117</v>
      </c>
      <c r="D84" s="142" t="s">
        <v>156</v>
      </c>
      <c r="E84" s="265">
        <f>IFERROR(IF(UC_DADOS!E44="","",UC_DADOS!E44),"")</f>
        <v>0</v>
      </c>
      <c r="F84" s="431"/>
    </row>
    <row r="85" spans="1:6" ht="15" customHeight="1" x14ac:dyDescent="0.25">
      <c r="A85" s="337" t="s">
        <v>157</v>
      </c>
      <c r="B85" s="143">
        <v>23</v>
      </c>
      <c r="C85" s="143" t="s">
        <v>117</v>
      </c>
      <c r="D85" s="142" t="s">
        <v>158</v>
      </c>
      <c r="E85" s="265">
        <f>IFERROR(IF(UC_DADOS!E45="","",UC_DADOS!E45),"")</f>
        <v>0</v>
      </c>
      <c r="F85" s="431"/>
    </row>
    <row r="86" spans="1:6" ht="15" customHeight="1" x14ac:dyDescent="0.25">
      <c r="A86" s="337" t="s">
        <v>159</v>
      </c>
      <c r="B86" s="143">
        <v>23</v>
      </c>
      <c r="C86" s="143" t="s">
        <v>117</v>
      </c>
      <c r="D86" s="142" t="s">
        <v>160</v>
      </c>
      <c r="E86" s="265">
        <f>IFERROR(IF(UC_DADOS!E46="","",UC_DADOS!E46),"")</f>
        <v>0</v>
      </c>
      <c r="F86" s="431"/>
    </row>
    <row r="87" spans="1:6" ht="15" customHeight="1" x14ac:dyDescent="0.25">
      <c r="A87" s="337" t="s">
        <v>161</v>
      </c>
      <c r="B87" s="143">
        <v>23</v>
      </c>
      <c r="C87" s="143" t="s">
        <v>117</v>
      </c>
      <c r="D87" s="142" t="s">
        <v>162</v>
      </c>
      <c r="E87" s="265">
        <f>IFERROR(IF(UC_DADOS!E47="","",UC_DADOS!E47),"")</f>
        <v>0</v>
      </c>
      <c r="F87" s="431"/>
    </row>
    <row r="88" spans="1:6" ht="15" customHeight="1" x14ac:dyDescent="0.25">
      <c r="A88" s="337" t="s">
        <v>163</v>
      </c>
      <c r="B88" s="143">
        <v>23</v>
      </c>
      <c r="C88" s="143" t="s">
        <v>117</v>
      </c>
      <c r="D88" s="142" t="s">
        <v>164</v>
      </c>
      <c r="E88" s="265">
        <f>IFERROR(IF(UC_DADOS!E48="","",UC_DADOS!E48),"")</f>
        <v>0</v>
      </c>
      <c r="F88" s="431"/>
    </row>
    <row r="89" spans="1:6" ht="15" customHeight="1" x14ac:dyDescent="0.25">
      <c r="A89" s="337" t="s">
        <v>165</v>
      </c>
      <c r="B89" s="143">
        <v>23</v>
      </c>
      <c r="C89" s="143" t="s">
        <v>117</v>
      </c>
      <c r="D89" s="142" t="s">
        <v>166</v>
      </c>
      <c r="E89" s="265">
        <f>IFERROR(IF(UC_DADOS!F37="","",UC_DADOS!F37),"")</f>
        <v>0</v>
      </c>
      <c r="F89" s="431"/>
    </row>
    <row r="90" spans="1:6" ht="15" customHeight="1" x14ac:dyDescent="0.25">
      <c r="A90" s="337" t="s">
        <v>167</v>
      </c>
      <c r="B90" s="143">
        <v>23</v>
      </c>
      <c r="C90" s="143" t="s">
        <v>117</v>
      </c>
      <c r="D90" s="142" t="s">
        <v>168</v>
      </c>
      <c r="E90" s="265">
        <f>IFERROR(IF(UC_DADOS!F38="","",UC_DADOS!F38),"")</f>
        <v>0</v>
      </c>
      <c r="F90" s="431"/>
    </row>
    <row r="91" spans="1:6" ht="15" customHeight="1" x14ac:dyDescent="0.25">
      <c r="A91" s="337" t="s">
        <v>169</v>
      </c>
      <c r="B91" s="143">
        <v>23</v>
      </c>
      <c r="C91" s="143" t="s">
        <v>117</v>
      </c>
      <c r="D91" s="142" t="s">
        <v>170</v>
      </c>
      <c r="E91" s="265">
        <f>IFERROR(IF(UC_DADOS!F39="","",UC_DADOS!F39),"")</f>
        <v>0</v>
      </c>
      <c r="F91" s="431"/>
    </row>
    <row r="92" spans="1:6" ht="15" customHeight="1" x14ac:dyDescent="0.25">
      <c r="A92" s="337" t="s">
        <v>171</v>
      </c>
      <c r="B92" s="143">
        <v>23</v>
      </c>
      <c r="C92" s="143" t="s">
        <v>117</v>
      </c>
      <c r="D92" s="142" t="s">
        <v>172</v>
      </c>
      <c r="E92" s="265">
        <f>IFERROR(IF(UC_DADOS!F40="","",UC_DADOS!F40),"")</f>
        <v>0</v>
      </c>
      <c r="F92" s="431"/>
    </row>
    <row r="93" spans="1:6" ht="15" customHeight="1" x14ac:dyDescent="0.25">
      <c r="A93" s="337" t="s">
        <v>173</v>
      </c>
      <c r="B93" s="143">
        <v>23</v>
      </c>
      <c r="C93" s="143" t="s">
        <v>117</v>
      </c>
      <c r="D93" s="142" t="s">
        <v>174</v>
      </c>
      <c r="E93" s="265">
        <f>IFERROR(IF(UC_DADOS!F41="","",UC_DADOS!F41),"")</f>
        <v>0</v>
      </c>
      <c r="F93" s="431"/>
    </row>
    <row r="94" spans="1:6" ht="15" customHeight="1" x14ac:dyDescent="0.25">
      <c r="A94" s="337" t="s">
        <v>175</v>
      </c>
      <c r="B94" s="143">
        <v>23</v>
      </c>
      <c r="C94" s="143" t="s">
        <v>117</v>
      </c>
      <c r="D94" s="142" t="s">
        <v>176</v>
      </c>
      <c r="E94" s="265">
        <f>IFERROR(IF(UC_DADOS!F42="","",UC_DADOS!F42),"")</f>
        <v>0</v>
      </c>
      <c r="F94" s="431"/>
    </row>
    <row r="95" spans="1:6" ht="15" customHeight="1" x14ac:dyDescent="0.25">
      <c r="A95" s="337" t="s">
        <v>177</v>
      </c>
      <c r="B95" s="143">
        <v>23</v>
      </c>
      <c r="C95" s="143" t="s">
        <v>117</v>
      </c>
      <c r="D95" s="142" t="s">
        <v>178</v>
      </c>
      <c r="E95" s="265">
        <f>IFERROR(IF(UC_DADOS!F43="","",UC_DADOS!F43),"")</f>
        <v>0</v>
      </c>
      <c r="F95" s="431"/>
    </row>
    <row r="96" spans="1:6" ht="15" customHeight="1" x14ac:dyDescent="0.25">
      <c r="A96" s="337" t="s">
        <v>179</v>
      </c>
      <c r="B96" s="143">
        <v>23</v>
      </c>
      <c r="C96" s="143" t="s">
        <v>117</v>
      </c>
      <c r="D96" s="142" t="s">
        <v>180</v>
      </c>
      <c r="E96" s="265">
        <f>IFERROR(IF(UC_DADOS!F44="","",UC_DADOS!F44),"")</f>
        <v>0</v>
      </c>
      <c r="F96" s="431"/>
    </row>
    <row r="97" spans="1:6" ht="15" customHeight="1" x14ac:dyDescent="0.25">
      <c r="A97" s="337" t="s">
        <v>181</v>
      </c>
      <c r="B97" s="143">
        <v>23</v>
      </c>
      <c r="C97" s="143" t="s">
        <v>117</v>
      </c>
      <c r="D97" s="142" t="s">
        <v>182</v>
      </c>
      <c r="E97" s="265">
        <f>IFERROR(IF(UC_DADOS!F45="","",UC_DADOS!F45),"")</f>
        <v>0</v>
      </c>
      <c r="F97" s="431"/>
    </row>
    <row r="98" spans="1:6" ht="15" customHeight="1" x14ac:dyDescent="0.25">
      <c r="A98" s="337" t="s">
        <v>183</v>
      </c>
      <c r="B98" s="143">
        <v>23</v>
      </c>
      <c r="C98" s="143" t="s">
        <v>117</v>
      </c>
      <c r="D98" s="142" t="s">
        <v>184</v>
      </c>
      <c r="E98" s="265">
        <f>IFERROR(IF(UC_DADOS!F46="","",UC_DADOS!F46),"")</f>
        <v>0</v>
      </c>
      <c r="F98" s="431"/>
    </row>
    <row r="99" spans="1:6" ht="15" customHeight="1" x14ac:dyDescent="0.25">
      <c r="A99" s="337" t="s">
        <v>185</v>
      </c>
      <c r="B99" s="143">
        <v>23</v>
      </c>
      <c r="C99" s="143" t="s">
        <v>117</v>
      </c>
      <c r="D99" s="142" t="s">
        <v>186</v>
      </c>
      <c r="E99" s="265">
        <f>IFERROR(IF(UC_DADOS!F47="","",UC_DADOS!F47),"")</f>
        <v>0</v>
      </c>
      <c r="F99" s="431"/>
    </row>
    <row r="100" spans="1:6" ht="15" customHeight="1" thickBot="1" x14ac:dyDescent="0.3">
      <c r="A100" s="339" t="s">
        <v>187</v>
      </c>
      <c r="B100" s="277">
        <v>23</v>
      </c>
      <c r="C100" s="277" t="s">
        <v>117</v>
      </c>
      <c r="D100" s="276" t="s">
        <v>188</v>
      </c>
      <c r="E100" s="342">
        <f>IFERROR(IF(UC_DADOS!F48="","",UC_DADOS!F48),"")</f>
        <v>0</v>
      </c>
      <c r="F100" s="432"/>
    </row>
    <row r="101" spans="1:6" ht="15" customHeight="1" thickBot="1" x14ac:dyDescent="0.3">
      <c r="A101" s="357" t="s">
        <v>105</v>
      </c>
      <c r="B101" s="358">
        <v>27</v>
      </c>
      <c r="C101" s="358" t="s">
        <v>189</v>
      </c>
      <c r="D101" s="359" t="s">
        <v>190</v>
      </c>
      <c r="E101" s="360" t="s">
        <v>142</v>
      </c>
      <c r="F101" s="361"/>
    </row>
    <row r="102" spans="1:6" ht="15" customHeight="1" x14ac:dyDescent="0.25">
      <c r="A102" s="334" t="s">
        <v>191</v>
      </c>
      <c r="B102" s="335">
        <v>23</v>
      </c>
      <c r="C102" s="335" t="s">
        <v>117</v>
      </c>
      <c r="D102" s="274" t="s">
        <v>192</v>
      </c>
      <c r="E102" s="341">
        <f>IFERROR(IF(UC_DADOS!G37="","",UC_DADOS!G37),"")</f>
        <v>0</v>
      </c>
      <c r="F102" s="421" t="s">
        <v>193</v>
      </c>
    </row>
    <row r="103" spans="1:6" ht="15" customHeight="1" x14ac:dyDescent="0.25">
      <c r="A103" s="337" t="s">
        <v>194</v>
      </c>
      <c r="B103" s="143">
        <v>23</v>
      </c>
      <c r="C103" s="143" t="s">
        <v>117</v>
      </c>
      <c r="D103" s="142" t="s">
        <v>195</v>
      </c>
      <c r="E103" s="265">
        <f>IFERROR(IF(UC_DADOS!G38="","",UC_DADOS!G38),"")</f>
        <v>0</v>
      </c>
      <c r="F103" s="422"/>
    </row>
    <row r="104" spans="1:6" ht="15" customHeight="1" x14ac:dyDescent="0.25">
      <c r="A104" s="337" t="s">
        <v>196</v>
      </c>
      <c r="B104" s="143">
        <v>23</v>
      </c>
      <c r="C104" s="143" t="s">
        <v>117</v>
      </c>
      <c r="D104" s="142" t="s">
        <v>197</v>
      </c>
      <c r="E104" s="265">
        <f>IFERROR(IF(UC_DADOS!G39="","",UC_DADOS!G39),"")</f>
        <v>0</v>
      </c>
      <c r="F104" s="422"/>
    </row>
    <row r="105" spans="1:6" ht="15" customHeight="1" x14ac:dyDescent="0.25">
      <c r="A105" s="337" t="s">
        <v>198</v>
      </c>
      <c r="B105" s="143">
        <v>23</v>
      </c>
      <c r="C105" s="143" t="s">
        <v>117</v>
      </c>
      <c r="D105" s="142" t="s">
        <v>199</v>
      </c>
      <c r="E105" s="265">
        <f>IFERROR(IF(UC_DADOS!G40="","",UC_DADOS!G40),"")</f>
        <v>0</v>
      </c>
      <c r="F105" s="422"/>
    </row>
    <row r="106" spans="1:6" ht="15" customHeight="1" x14ac:dyDescent="0.25">
      <c r="A106" s="337" t="s">
        <v>200</v>
      </c>
      <c r="B106" s="143">
        <v>23</v>
      </c>
      <c r="C106" s="143" t="s">
        <v>117</v>
      </c>
      <c r="D106" s="142" t="s">
        <v>201</v>
      </c>
      <c r="E106" s="265">
        <f>IFERROR(IF(UC_DADOS!G41="","",UC_DADOS!G41),"")</f>
        <v>0</v>
      </c>
      <c r="F106" s="422"/>
    </row>
    <row r="107" spans="1:6" ht="15" customHeight="1" x14ac:dyDescent="0.25">
      <c r="A107" s="337" t="s">
        <v>202</v>
      </c>
      <c r="B107" s="143">
        <v>23</v>
      </c>
      <c r="C107" s="143" t="s">
        <v>117</v>
      </c>
      <c r="D107" s="142" t="s">
        <v>203</v>
      </c>
      <c r="E107" s="265">
        <f>IFERROR(IF(UC_DADOS!G42="","",UC_DADOS!G42),"")</f>
        <v>0</v>
      </c>
      <c r="F107" s="422"/>
    </row>
    <row r="108" spans="1:6" ht="15" customHeight="1" x14ac:dyDescent="0.25">
      <c r="A108" s="337" t="s">
        <v>204</v>
      </c>
      <c r="B108" s="143">
        <v>23</v>
      </c>
      <c r="C108" s="143" t="s">
        <v>117</v>
      </c>
      <c r="D108" s="142" t="s">
        <v>205</v>
      </c>
      <c r="E108" s="265">
        <f>IFERROR(IF(UC_DADOS!G43="","",UC_DADOS!G43),"")</f>
        <v>0</v>
      </c>
      <c r="F108" s="422"/>
    </row>
    <row r="109" spans="1:6" ht="15" customHeight="1" x14ac:dyDescent="0.25">
      <c r="A109" s="337" t="s">
        <v>206</v>
      </c>
      <c r="B109" s="143">
        <v>23</v>
      </c>
      <c r="C109" s="143" t="s">
        <v>117</v>
      </c>
      <c r="D109" s="142" t="s">
        <v>207</v>
      </c>
      <c r="E109" s="265">
        <f>IFERROR(IF(UC_DADOS!G44="","",UC_DADOS!G44),"")</f>
        <v>0</v>
      </c>
      <c r="F109" s="422"/>
    </row>
    <row r="110" spans="1:6" ht="15" customHeight="1" x14ac:dyDescent="0.25">
      <c r="A110" s="337" t="s">
        <v>208</v>
      </c>
      <c r="B110" s="143">
        <v>23</v>
      </c>
      <c r="C110" s="143" t="s">
        <v>117</v>
      </c>
      <c r="D110" s="142" t="s">
        <v>209</v>
      </c>
      <c r="E110" s="265">
        <f>IFERROR(IF(UC_DADOS!G45="","",UC_DADOS!G45),"")</f>
        <v>0</v>
      </c>
      <c r="F110" s="422"/>
    </row>
    <row r="111" spans="1:6" ht="15" customHeight="1" x14ac:dyDescent="0.25">
      <c r="A111" s="337" t="s">
        <v>210</v>
      </c>
      <c r="B111" s="143">
        <v>23</v>
      </c>
      <c r="C111" s="143" t="s">
        <v>117</v>
      </c>
      <c r="D111" s="142" t="s">
        <v>211</v>
      </c>
      <c r="E111" s="265">
        <f>IFERROR(IF(UC_DADOS!G46="","",UC_DADOS!G46),"")</f>
        <v>0</v>
      </c>
      <c r="F111" s="422"/>
    </row>
    <row r="112" spans="1:6" ht="15" customHeight="1" x14ac:dyDescent="0.25">
      <c r="A112" s="337" t="s">
        <v>212</v>
      </c>
      <c r="B112" s="143">
        <v>23</v>
      </c>
      <c r="C112" s="143" t="s">
        <v>117</v>
      </c>
      <c r="D112" s="142" t="s">
        <v>213</v>
      </c>
      <c r="E112" s="265">
        <f>IFERROR(IF(UC_DADOS!G47="","",UC_DADOS!G47),"")</f>
        <v>0</v>
      </c>
      <c r="F112" s="422"/>
    </row>
    <row r="113" spans="1:6" ht="15" customHeight="1" thickBot="1" x14ac:dyDescent="0.3">
      <c r="A113" s="339" t="s">
        <v>214</v>
      </c>
      <c r="B113" s="277">
        <v>23</v>
      </c>
      <c r="C113" s="277" t="s">
        <v>117</v>
      </c>
      <c r="D113" s="276" t="s">
        <v>215</v>
      </c>
      <c r="E113" s="342">
        <f>IFERROR(IF(UC_DADOS!G48="","",UC_DADOS!G48),"")</f>
        <v>0</v>
      </c>
      <c r="F113" s="423"/>
    </row>
    <row r="114" spans="1:6" ht="15" customHeight="1" thickBot="1" x14ac:dyDescent="0.3">
      <c r="A114" s="357" t="s">
        <v>105</v>
      </c>
      <c r="B114" s="358">
        <v>26</v>
      </c>
      <c r="C114" s="358" t="s">
        <v>189</v>
      </c>
      <c r="D114" s="359" t="s">
        <v>216</v>
      </c>
      <c r="E114" s="360" t="s">
        <v>193</v>
      </c>
      <c r="F114" s="361"/>
    </row>
    <row r="115" spans="1:6" ht="15" customHeight="1" x14ac:dyDescent="0.25">
      <c r="A115" s="334" t="s">
        <v>217</v>
      </c>
      <c r="B115" s="335">
        <v>23</v>
      </c>
      <c r="C115" s="335" t="s">
        <v>117</v>
      </c>
      <c r="D115" s="274" t="s">
        <v>218</v>
      </c>
      <c r="E115" s="341" t="str">
        <f>IFERROR(IF(UC_DADOS!H37="","",UC_DADOS!H37),"")</f>
        <v/>
      </c>
      <c r="F115" s="433" t="s">
        <v>219</v>
      </c>
    </row>
    <row r="116" spans="1:6" ht="15" customHeight="1" x14ac:dyDescent="0.25">
      <c r="A116" s="337" t="s">
        <v>220</v>
      </c>
      <c r="B116" s="143">
        <v>23</v>
      </c>
      <c r="C116" s="143" t="s">
        <v>117</v>
      </c>
      <c r="D116" s="142" t="s">
        <v>221</v>
      </c>
      <c r="E116" s="265" t="str">
        <f>IFERROR(IF(UC_DADOS!H38="","",UC_DADOS!H38),"")</f>
        <v/>
      </c>
      <c r="F116" s="434"/>
    </row>
    <row r="117" spans="1:6" ht="15" customHeight="1" x14ac:dyDescent="0.25">
      <c r="A117" s="337" t="s">
        <v>222</v>
      </c>
      <c r="B117" s="143">
        <v>23</v>
      </c>
      <c r="C117" s="143" t="s">
        <v>117</v>
      </c>
      <c r="D117" s="142" t="s">
        <v>223</v>
      </c>
      <c r="E117" s="265" t="str">
        <f>IFERROR(IF(UC_DADOS!H39="","",UC_DADOS!H39),"")</f>
        <v/>
      </c>
      <c r="F117" s="434"/>
    </row>
    <row r="118" spans="1:6" ht="15" customHeight="1" x14ac:dyDescent="0.25">
      <c r="A118" s="337" t="s">
        <v>224</v>
      </c>
      <c r="B118" s="143">
        <v>23</v>
      </c>
      <c r="C118" s="143" t="s">
        <v>117</v>
      </c>
      <c r="D118" s="142" t="s">
        <v>225</v>
      </c>
      <c r="E118" s="265" t="str">
        <f>IFERROR(IF(UC_DADOS!H40="","",UC_DADOS!H40),"")</f>
        <v/>
      </c>
      <c r="F118" s="434"/>
    </row>
    <row r="119" spans="1:6" ht="15" customHeight="1" x14ac:dyDescent="0.25">
      <c r="A119" s="337" t="s">
        <v>226</v>
      </c>
      <c r="B119" s="143">
        <v>23</v>
      </c>
      <c r="C119" s="143" t="s">
        <v>117</v>
      </c>
      <c r="D119" s="142" t="s">
        <v>227</v>
      </c>
      <c r="E119" s="265" t="str">
        <f>IFERROR(IF(UC_DADOS!H41="","",UC_DADOS!H41),"")</f>
        <v/>
      </c>
      <c r="F119" s="434"/>
    </row>
    <row r="120" spans="1:6" ht="15" customHeight="1" x14ac:dyDescent="0.25">
      <c r="A120" s="337" t="s">
        <v>228</v>
      </c>
      <c r="B120" s="143">
        <v>23</v>
      </c>
      <c r="C120" s="143" t="s">
        <v>117</v>
      </c>
      <c r="D120" s="142" t="s">
        <v>229</v>
      </c>
      <c r="E120" s="265" t="str">
        <f>IFERROR(IF(UC_DADOS!H42="","",UC_DADOS!H42),"")</f>
        <v/>
      </c>
      <c r="F120" s="434"/>
    </row>
    <row r="121" spans="1:6" ht="15" customHeight="1" x14ac:dyDescent="0.25">
      <c r="A121" s="337" t="s">
        <v>230</v>
      </c>
      <c r="B121" s="143">
        <v>23</v>
      </c>
      <c r="C121" s="143" t="s">
        <v>117</v>
      </c>
      <c r="D121" s="142" t="s">
        <v>231</v>
      </c>
      <c r="E121" s="265" t="str">
        <f>IFERROR(IF(UC_DADOS!H43="","",UC_DADOS!H43),"")</f>
        <v/>
      </c>
      <c r="F121" s="434"/>
    </row>
    <row r="122" spans="1:6" ht="15" customHeight="1" x14ac:dyDescent="0.25">
      <c r="A122" s="337" t="s">
        <v>232</v>
      </c>
      <c r="B122" s="143">
        <v>23</v>
      </c>
      <c r="C122" s="143" t="s">
        <v>117</v>
      </c>
      <c r="D122" s="142" t="s">
        <v>233</v>
      </c>
      <c r="E122" s="265" t="str">
        <f>IFERROR(IF(UC_DADOS!H44="","",UC_DADOS!H44),"")</f>
        <v/>
      </c>
      <c r="F122" s="434"/>
    </row>
    <row r="123" spans="1:6" ht="15" customHeight="1" x14ac:dyDescent="0.25">
      <c r="A123" s="337" t="s">
        <v>234</v>
      </c>
      <c r="B123" s="143">
        <v>23</v>
      </c>
      <c r="C123" s="143" t="s">
        <v>117</v>
      </c>
      <c r="D123" s="142" t="s">
        <v>235</v>
      </c>
      <c r="E123" s="265" t="str">
        <f>IFERROR(IF(UC_DADOS!H45="","",UC_DADOS!H45),"")</f>
        <v/>
      </c>
      <c r="F123" s="434"/>
    </row>
    <row r="124" spans="1:6" ht="15" customHeight="1" x14ac:dyDescent="0.25">
      <c r="A124" s="337" t="s">
        <v>236</v>
      </c>
      <c r="B124" s="143">
        <v>23</v>
      </c>
      <c r="C124" s="143" t="s">
        <v>117</v>
      </c>
      <c r="D124" s="142" t="s">
        <v>237</v>
      </c>
      <c r="E124" s="265" t="str">
        <f>IFERROR(IF(UC_DADOS!H46="","",UC_DADOS!H46),"")</f>
        <v/>
      </c>
      <c r="F124" s="434"/>
    </row>
    <row r="125" spans="1:6" ht="15" customHeight="1" x14ac:dyDescent="0.25">
      <c r="A125" s="337" t="s">
        <v>238</v>
      </c>
      <c r="B125" s="143">
        <v>23</v>
      </c>
      <c r="C125" s="143" t="s">
        <v>117</v>
      </c>
      <c r="D125" s="142" t="s">
        <v>239</v>
      </c>
      <c r="E125" s="265" t="str">
        <f>IFERROR(IF(UC_DADOS!H47="","",UC_DADOS!H47),"")</f>
        <v/>
      </c>
      <c r="F125" s="434"/>
    </row>
    <row r="126" spans="1:6" ht="15" customHeight="1" x14ac:dyDescent="0.25">
      <c r="A126" s="337" t="s">
        <v>240</v>
      </c>
      <c r="B126" s="143">
        <v>23</v>
      </c>
      <c r="C126" s="143" t="s">
        <v>117</v>
      </c>
      <c r="D126" s="142" t="s">
        <v>241</v>
      </c>
      <c r="E126" s="265" t="str">
        <f>IFERROR(IF(UC_DADOS!H48="","",UC_DADOS!H48),"")</f>
        <v/>
      </c>
      <c r="F126" s="434"/>
    </row>
    <row r="127" spans="1:6" ht="15" customHeight="1" x14ac:dyDescent="0.25">
      <c r="A127" s="337" t="s">
        <v>242</v>
      </c>
      <c r="B127" s="143">
        <v>23</v>
      </c>
      <c r="C127" s="143" t="s">
        <v>117</v>
      </c>
      <c r="D127" s="142" t="s">
        <v>243</v>
      </c>
      <c r="E127" s="265" t="str">
        <f>IFERROR(IF(UC_DADOS!I37="","",UC_DADOS!I37),"")</f>
        <v/>
      </c>
      <c r="F127" s="434"/>
    </row>
    <row r="128" spans="1:6" ht="15" customHeight="1" x14ac:dyDescent="0.25">
      <c r="A128" s="337" t="s">
        <v>244</v>
      </c>
      <c r="B128" s="143">
        <v>23</v>
      </c>
      <c r="C128" s="143" t="s">
        <v>117</v>
      </c>
      <c r="D128" s="142" t="s">
        <v>245</v>
      </c>
      <c r="E128" s="265" t="str">
        <f>IFERROR(IF(UC_DADOS!I38="","",UC_DADOS!I38),"")</f>
        <v/>
      </c>
      <c r="F128" s="434"/>
    </row>
    <row r="129" spans="1:6" ht="15" customHeight="1" x14ac:dyDescent="0.25">
      <c r="A129" s="337" t="s">
        <v>246</v>
      </c>
      <c r="B129" s="143">
        <v>23</v>
      </c>
      <c r="C129" s="143" t="s">
        <v>117</v>
      </c>
      <c r="D129" s="142" t="s">
        <v>247</v>
      </c>
      <c r="E129" s="265" t="str">
        <f>IFERROR(IF(UC_DADOS!I39="","",UC_DADOS!I39),"")</f>
        <v/>
      </c>
      <c r="F129" s="434"/>
    </row>
    <row r="130" spans="1:6" ht="15" customHeight="1" x14ac:dyDescent="0.25">
      <c r="A130" s="337" t="s">
        <v>248</v>
      </c>
      <c r="B130" s="143">
        <v>23</v>
      </c>
      <c r="C130" s="143" t="s">
        <v>117</v>
      </c>
      <c r="D130" s="142" t="s">
        <v>249</v>
      </c>
      <c r="E130" s="265" t="str">
        <f>IFERROR(IF(UC_DADOS!I40="","",UC_DADOS!I40),"")</f>
        <v/>
      </c>
      <c r="F130" s="434"/>
    </row>
    <row r="131" spans="1:6" ht="15" customHeight="1" x14ac:dyDescent="0.25">
      <c r="A131" s="337" t="s">
        <v>250</v>
      </c>
      <c r="B131" s="143">
        <v>23</v>
      </c>
      <c r="C131" s="143" t="s">
        <v>117</v>
      </c>
      <c r="D131" s="142" t="s">
        <v>251</v>
      </c>
      <c r="E131" s="265" t="str">
        <f>IFERROR(IF(UC_DADOS!I41="","",UC_DADOS!I41),"")</f>
        <v/>
      </c>
      <c r="F131" s="434"/>
    </row>
    <row r="132" spans="1:6" ht="15" customHeight="1" x14ac:dyDescent="0.25">
      <c r="A132" s="337" t="s">
        <v>252</v>
      </c>
      <c r="B132" s="143">
        <v>23</v>
      </c>
      <c r="C132" s="143" t="s">
        <v>117</v>
      </c>
      <c r="D132" s="142" t="s">
        <v>253</v>
      </c>
      <c r="E132" s="265" t="str">
        <f>IFERROR(IF(UC_DADOS!I42="","",UC_DADOS!I42),"")</f>
        <v/>
      </c>
      <c r="F132" s="434"/>
    </row>
    <row r="133" spans="1:6" ht="15" customHeight="1" x14ac:dyDescent="0.25">
      <c r="A133" s="337" t="s">
        <v>254</v>
      </c>
      <c r="B133" s="143">
        <v>23</v>
      </c>
      <c r="C133" s="143" t="s">
        <v>117</v>
      </c>
      <c r="D133" s="142" t="s">
        <v>255</v>
      </c>
      <c r="E133" s="265" t="str">
        <f>IFERROR(IF(UC_DADOS!I43="","",UC_DADOS!I43),"")</f>
        <v/>
      </c>
      <c r="F133" s="434"/>
    </row>
    <row r="134" spans="1:6" ht="15" customHeight="1" x14ac:dyDescent="0.25">
      <c r="A134" s="337" t="s">
        <v>256</v>
      </c>
      <c r="B134" s="143">
        <v>23</v>
      </c>
      <c r="C134" s="143" t="s">
        <v>117</v>
      </c>
      <c r="D134" s="142" t="s">
        <v>257</v>
      </c>
      <c r="E134" s="265" t="str">
        <f>IFERROR(IF(UC_DADOS!I44="","",UC_DADOS!I44),"")</f>
        <v/>
      </c>
      <c r="F134" s="434"/>
    </row>
    <row r="135" spans="1:6" ht="15" customHeight="1" x14ac:dyDescent="0.25">
      <c r="A135" s="337" t="s">
        <v>258</v>
      </c>
      <c r="B135" s="143">
        <v>23</v>
      </c>
      <c r="C135" s="143" t="s">
        <v>117</v>
      </c>
      <c r="D135" s="142" t="s">
        <v>259</v>
      </c>
      <c r="E135" s="265" t="str">
        <f>IFERROR(IF(UC_DADOS!I45="","",UC_DADOS!I45),"")</f>
        <v/>
      </c>
      <c r="F135" s="434"/>
    </row>
    <row r="136" spans="1:6" ht="15" customHeight="1" x14ac:dyDescent="0.25">
      <c r="A136" s="337" t="s">
        <v>260</v>
      </c>
      <c r="B136" s="143">
        <v>23</v>
      </c>
      <c r="C136" s="143" t="s">
        <v>117</v>
      </c>
      <c r="D136" s="142" t="s">
        <v>261</v>
      </c>
      <c r="E136" s="265" t="str">
        <f>IFERROR(IF(UC_DADOS!I46="","",UC_DADOS!I46),"")</f>
        <v/>
      </c>
      <c r="F136" s="434"/>
    </row>
    <row r="137" spans="1:6" ht="15" customHeight="1" x14ac:dyDescent="0.25">
      <c r="A137" s="337" t="s">
        <v>262</v>
      </c>
      <c r="B137" s="143">
        <v>23</v>
      </c>
      <c r="C137" s="143" t="s">
        <v>117</v>
      </c>
      <c r="D137" s="142" t="s">
        <v>263</v>
      </c>
      <c r="E137" s="265" t="str">
        <f>IFERROR(IF(UC_DADOS!I47="","",UC_DADOS!I47),"")</f>
        <v/>
      </c>
      <c r="F137" s="434"/>
    </row>
    <row r="138" spans="1:6" ht="15" customHeight="1" x14ac:dyDescent="0.25">
      <c r="A138" s="337" t="s">
        <v>264</v>
      </c>
      <c r="B138" s="143">
        <v>23</v>
      </c>
      <c r="C138" s="143" t="s">
        <v>117</v>
      </c>
      <c r="D138" s="142" t="s">
        <v>265</v>
      </c>
      <c r="E138" s="265" t="str">
        <f>IFERROR(IF(UC_DADOS!I48="","",UC_DADOS!I48),"")</f>
        <v/>
      </c>
      <c r="F138" s="434"/>
    </row>
    <row r="139" spans="1:6" ht="15" customHeight="1" x14ac:dyDescent="0.25">
      <c r="A139" s="337" t="s">
        <v>266</v>
      </c>
      <c r="B139" s="143">
        <v>23</v>
      </c>
      <c r="C139" s="368" t="s">
        <v>117</v>
      </c>
      <c r="D139" s="142" t="s">
        <v>86</v>
      </c>
      <c r="E139" s="338" t="e">
        <f>UC_DADOS!B19</f>
        <v>#N/A</v>
      </c>
      <c r="F139" s="434"/>
    </row>
    <row r="140" spans="1:6" x14ac:dyDescent="0.25">
      <c r="A140" s="337" t="s">
        <v>267</v>
      </c>
      <c r="B140" s="143">
        <v>23</v>
      </c>
      <c r="C140" s="143" t="s">
        <v>117</v>
      </c>
      <c r="D140" s="142" t="s">
        <v>268</v>
      </c>
      <c r="E140" s="338" t="e">
        <f>E139*1.05</f>
        <v>#N/A</v>
      </c>
      <c r="F140" s="434"/>
    </row>
    <row r="141" spans="1:6" x14ac:dyDescent="0.25">
      <c r="A141" s="337" t="s">
        <v>269</v>
      </c>
      <c r="B141" s="143">
        <v>23</v>
      </c>
      <c r="C141" s="143" t="s">
        <v>117</v>
      </c>
      <c r="D141" s="142" t="s">
        <v>270</v>
      </c>
      <c r="E141" s="338" t="e">
        <f>VALUE(LEFT(UC_DADOS!B19,FIND(" NP",UC_DADOS!B19)-1))*1.05</f>
        <v>#N/A</v>
      </c>
      <c r="F141" s="434"/>
    </row>
    <row r="142" spans="1:6" ht="15.75" thickBot="1" x14ac:dyDescent="0.3">
      <c r="A142" s="339" t="s">
        <v>271</v>
      </c>
      <c r="B142" s="277">
        <v>23</v>
      </c>
      <c r="C142" s="277" t="s">
        <v>117</v>
      </c>
      <c r="D142" s="276" t="s">
        <v>272</v>
      </c>
      <c r="E142" s="340" t="e">
        <f>VALUE(TRIM(RIGHT(SUBSTITUTE(LEFT(UC_DADOS!B19,FIND(" FP",UC_DADOS!B19)-1)," ",REPT(" ",100)),100)))*1.05</f>
        <v>#N/A</v>
      </c>
      <c r="F142" s="435"/>
    </row>
    <row r="143" spans="1:6" ht="15.75" thickBot="1" x14ac:dyDescent="0.3">
      <c r="A143" s="352" t="s">
        <v>105</v>
      </c>
      <c r="B143" s="353">
        <v>22</v>
      </c>
      <c r="C143" s="353" t="s">
        <v>189</v>
      </c>
      <c r="D143" s="354" t="s">
        <v>273</v>
      </c>
      <c r="E143" s="355" t="s">
        <v>219</v>
      </c>
      <c r="F143" s="356"/>
    </row>
    <row r="144" spans="1:6" x14ac:dyDescent="0.25">
      <c r="A144" s="337" t="s">
        <v>274</v>
      </c>
      <c r="B144" s="143">
        <v>25</v>
      </c>
      <c r="C144" s="143" t="s">
        <v>275</v>
      </c>
      <c r="D144" s="142" t="s">
        <v>276</v>
      </c>
      <c r="E144" s="369" t="str">
        <f>UC_DADOS!B16</f>
        <v>Escola pública (fundamental)</v>
      </c>
      <c r="F144" s="363"/>
    </row>
    <row r="145" spans="1:6" x14ac:dyDescent="0.25">
      <c r="A145" s="364" t="s">
        <v>277</v>
      </c>
      <c r="B145" s="365">
        <v>25</v>
      </c>
      <c r="C145" s="365" t="s">
        <v>275</v>
      </c>
      <c r="D145" s="366" t="s">
        <v>278</v>
      </c>
      <c r="E145" s="370" t="str">
        <f>UC_DADOS!B15</f>
        <v>4 a 8 kWh/Alunos/mês</v>
      </c>
      <c r="F145" s="367"/>
    </row>
    <row r="146" spans="1:6" x14ac:dyDescent="0.25">
      <c r="A146" s="337" t="s">
        <v>279</v>
      </c>
      <c r="B146" s="365">
        <v>25</v>
      </c>
      <c r="C146" s="365" t="s">
        <v>275</v>
      </c>
      <c r="D146" s="142" t="s">
        <v>280</v>
      </c>
      <c r="E146" s="369" t="e">
        <f ca="1">UC_DADOS!B40</f>
        <v>#DIV/0!</v>
      </c>
      <c r="F146" s="379"/>
    </row>
    <row r="147" spans="1:6" x14ac:dyDescent="0.25">
      <c r="A147" s="337" t="s">
        <v>281</v>
      </c>
      <c r="B147" s="365">
        <v>25</v>
      </c>
      <c r="C147" s="365" t="s">
        <v>275</v>
      </c>
      <c r="D147" s="142" t="s">
        <v>282</v>
      </c>
      <c r="E147" s="369" t="e">
        <f ca="1">UC_DADOS!B41</f>
        <v>#DIV/0!</v>
      </c>
      <c r="F147" s="379"/>
    </row>
    <row r="148" spans="1:6" x14ac:dyDescent="0.25">
      <c r="A148" s="337" t="s">
        <v>283</v>
      </c>
      <c r="B148" s="365">
        <v>25</v>
      </c>
      <c r="C148" s="365" t="s">
        <v>275</v>
      </c>
      <c r="D148" s="142" t="s">
        <v>284</v>
      </c>
      <c r="E148" s="369" t="e">
        <f ca="1">UC_DADOS!B42</f>
        <v>#DIV/0!</v>
      </c>
      <c r="F148" s="379"/>
    </row>
    <row r="149" spans="1:6" x14ac:dyDescent="0.25">
      <c r="A149" s="337" t="s">
        <v>285</v>
      </c>
      <c r="B149" s="365">
        <v>25</v>
      </c>
      <c r="C149" s="365" t="s">
        <v>275</v>
      </c>
      <c r="D149" s="142" t="s">
        <v>286</v>
      </c>
      <c r="E149" s="369" t="e">
        <f ca="1">UC_DADOS!B43</f>
        <v>#DIV/0!</v>
      </c>
      <c r="F149" s="379"/>
    </row>
    <row r="150" spans="1:6" ht="15.75" thickBot="1" x14ac:dyDescent="0.3">
      <c r="A150" s="380" t="str">
        <f>"Consumo por " &amp; UC_DADOS!A12 &amp; " (kWh/mês) (Média Ano)"</f>
        <v>Consumo por Alunos (kWh/mês) (Média Ano)</v>
      </c>
      <c r="B150" s="365">
        <v>25</v>
      </c>
      <c r="C150" s="365" t="s">
        <v>275</v>
      </c>
      <c r="D150" s="142" t="s">
        <v>287</v>
      </c>
      <c r="E150" s="381" t="e">
        <f ca="1">UC_DADOS!B44</f>
        <v>#DIV/0!</v>
      </c>
      <c r="F150" s="379"/>
    </row>
    <row r="151" spans="1:6" x14ac:dyDescent="0.25">
      <c r="A151" s="334" t="s">
        <v>288</v>
      </c>
      <c r="B151" s="335">
        <v>29</v>
      </c>
      <c r="C151" s="335" t="s">
        <v>189</v>
      </c>
      <c r="D151" s="274" t="s">
        <v>289</v>
      </c>
      <c r="E151" s="336">
        <f>UC_DADOS!J37</f>
        <v>0</v>
      </c>
      <c r="F151" s="424" t="s">
        <v>290</v>
      </c>
    </row>
    <row r="152" spans="1:6" x14ac:dyDescent="0.25">
      <c r="A152" s="337" t="s">
        <v>291</v>
      </c>
      <c r="B152" s="143">
        <v>29</v>
      </c>
      <c r="C152" s="143" t="s">
        <v>189</v>
      </c>
      <c r="D152" s="142" t="s">
        <v>292</v>
      </c>
      <c r="E152" s="338">
        <f>UC_DADOS!J38</f>
        <v>0</v>
      </c>
      <c r="F152" s="425"/>
    </row>
    <row r="153" spans="1:6" x14ac:dyDescent="0.25">
      <c r="A153" s="337" t="s">
        <v>293</v>
      </c>
      <c r="B153" s="143">
        <v>29</v>
      </c>
      <c r="C153" s="143" t="s">
        <v>189</v>
      </c>
      <c r="D153" s="142" t="s">
        <v>294</v>
      </c>
      <c r="E153" s="338">
        <f>UC_DADOS!J39</f>
        <v>0</v>
      </c>
      <c r="F153" s="425"/>
    </row>
    <row r="154" spans="1:6" x14ac:dyDescent="0.25">
      <c r="A154" s="337" t="s">
        <v>295</v>
      </c>
      <c r="B154" s="143">
        <v>29</v>
      </c>
      <c r="C154" s="143" t="s">
        <v>189</v>
      </c>
      <c r="D154" s="142" t="s">
        <v>296</v>
      </c>
      <c r="E154" s="338">
        <f>UC_DADOS!J40</f>
        <v>0</v>
      </c>
      <c r="F154" s="425"/>
    </row>
    <row r="155" spans="1:6" x14ac:dyDescent="0.25">
      <c r="A155" s="337" t="s">
        <v>297</v>
      </c>
      <c r="B155" s="143">
        <v>29</v>
      </c>
      <c r="C155" s="143" t="s">
        <v>189</v>
      </c>
      <c r="D155" s="142" t="s">
        <v>298</v>
      </c>
      <c r="E155" s="338">
        <f>UC_DADOS!J41</f>
        <v>0</v>
      </c>
      <c r="F155" s="425"/>
    </row>
    <row r="156" spans="1:6" x14ac:dyDescent="0.25">
      <c r="A156" s="337" t="s">
        <v>299</v>
      </c>
      <c r="B156" s="143">
        <v>29</v>
      </c>
      <c r="C156" s="143" t="s">
        <v>189</v>
      </c>
      <c r="D156" s="142" t="s">
        <v>300</v>
      </c>
      <c r="E156" s="338">
        <f>UC_DADOS!J42</f>
        <v>0</v>
      </c>
      <c r="F156" s="425"/>
    </row>
    <row r="157" spans="1:6" x14ac:dyDescent="0.25">
      <c r="A157" s="337" t="s">
        <v>301</v>
      </c>
      <c r="B157" s="143">
        <v>29</v>
      </c>
      <c r="C157" s="143" t="s">
        <v>189</v>
      </c>
      <c r="D157" s="142" t="s">
        <v>302</v>
      </c>
      <c r="E157" s="338">
        <f>UC_DADOS!J43</f>
        <v>0</v>
      </c>
      <c r="F157" s="425"/>
    </row>
    <row r="158" spans="1:6" x14ac:dyDescent="0.25">
      <c r="A158" s="337" t="s">
        <v>303</v>
      </c>
      <c r="B158" s="143">
        <v>29</v>
      </c>
      <c r="C158" s="143" t="s">
        <v>189</v>
      </c>
      <c r="D158" s="142" t="s">
        <v>304</v>
      </c>
      <c r="E158" s="338">
        <f>UC_DADOS!J44</f>
        <v>0</v>
      </c>
      <c r="F158" s="425"/>
    </row>
    <row r="159" spans="1:6" x14ac:dyDescent="0.25">
      <c r="A159" s="337" t="s">
        <v>305</v>
      </c>
      <c r="B159" s="143">
        <v>29</v>
      </c>
      <c r="C159" s="143" t="s">
        <v>189</v>
      </c>
      <c r="D159" s="142" t="s">
        <v>306</v>
      </c>
      <c r="E159" s="338">
        <f>UC_DADOS!J45</f>
        <v>0</v>
      </c>
      <c r="F159" s="425"/>
    </row>
    <row r="160" spans="1:6" x14ac:dyDescent="0.25">
      <c r="A160" s="337" t="s">
        <v>307</v>
      </c>
      <c r="B160" s="143">
        <v>29</v>
      </c>
      <c r="C160" s="143" t="s">
        <v>189</v>
      </c>
      <c r="D160" s="142" t="s">
        <v>308</v>
      </c>
      <c r="E160" s="338">
        <f>UC_DADOS!J46</f>
        <v>0</v>
      </c>
      <c r="F160" s="425"/>
    </row>
    <row r="161" spans="1:6" x14ac:dyDescent="0.25">
      <c r="A161" s="337" t="s">
        <v>309</v>
      </c>
      <c r="B161" s="143">
        <v>29</v>
      </c>
      <c r="C161" s="143" t="s">
        <v>189</v>
      </c>
      <c r="D161" s="142" t="s">
        <v>310</v>
      </c>
      <c r="E161" s="338">
        <f>UC_DADOS!J47</f>
        <v>0</v>
      </c>
      <c r="F161" s="425"/>
    </row>
    <row r="162" spans="1:6" ht="15.75" thickBot="1" x14ac:dyDescent="0.3">
      <c r="A162" s="339" t="s">
        <v>311</v>
      </c>
      <c r="B162" s="277">
        <v>29</v>
      </c>
      <c r="C162" s="277" t="s">
        <v>189</v>
      </c>
      <c r="D162" s="276" t="s">
        <v>312</v>
      </c>
      <c r="E162" s="340">
        <f>UC_DADOS!J48</f>
        <v>0</v>
      </c>
      <c r="F162" s="426"/>
    </row>
    <row r="163" spans="1:6" ht="15.75" thickBot="1" x14ac:dyDescent="0.3">
      <c r="A163" s="357" t="s">
        <v>105</v>
      </c>
      <c r="B163" s="358">
        <v>29</v>
      </c>
      <c r="C163" s="358" t="s">
        <v>189</v>
      </c>
      <c r="D163" s="359" t="s">
        <v>313</v>
      </c>
      <c r="E163" s="360" t="s">
        <v>290</v>
      </c>
      <c r="F163" s="361"/>
    </row>
    <row r="164" spans="1:6" x14ac:dyDescent="0.25">
      <c r="A164" t="s">
        <v>314</v>
      </c>
      <c r="B164" s="143">
        <v>27</v>
      </c>
      <c r="C164" s="143" t="s">
        <v>189</v>
      </c>
      <c r="D164" s="142" t="s">
        <v>315</v>
      </c>
      <c r="E164" s="265">
        <f>IFERROR(IF(UC_DADOS!B34="","",UC_DADOS!B34),"")</f>
        <v>0</v>
      </c>
    </row>
    <row r="165" spans="1:6" x14ac:dyDescent="0.25">
      <c r="A165" t="s">
        <v>316</v>
      </c>
      <c r="B165" s="143">
        <v>27</v>
      </c>
      <c r="C165" s="143" t="s">
        <v>189</v>
      </c>
      <c r="D165" s="142" t="s">
        <v>317</v>
      </c>
      <c r="E165" s="265" t="str">
        <f>IFERROR(IF(UC_DADOS!B35="","",UC_DADOS!B35),"")</f>
        <v/>
      </c>
    </row>
    <row r="166" spans="1:6" x14ac:dyDescent="0.25">
      <c r="A166" t="s">
        <v>318</v>
      </c>
      <c r="B166" s="143">
        <v>27</v>
      </c>
      <c r="C166" s="143" t="s">
        <v>189</v>
      </c>
      <c r="D166" s="142" t="s">
        <v>319</v>
      </c>
      <c r="E166" s="265" t="str">
        <f>IFERROR(IF(UC_DADOS!B36="","",UC_DADOS!B36),"")</f>
        <v/>
      </c>
    </row>
    <row r="167" spans="1:6" x14ac:dyDescent="0.25">
      <c r="A167" t="s">
        <v>320</v>
      </c>
      <c r="B167" s="143">
        <v>27</v>
      </c>
      <c r="C167" s="143" t="s">
        <v>189</v>
      </c>
      <c r="D167" s="142" t="s">
        <v>321</v>
      </c>
      <c r="E167" s="265">
        <f>IFERROR(IF(UC_DADOS!G50="","",UC_DADOS!G50),"")</f>
        <v>0</v>
      </c>
    </row>
    <row r="168" spans="1:6" x14ac:dyDescent="0.25">
      <c r="A168" t="s">
        <v>322</v>
      </c>
      <c r="B168" s="143">
        <v>27</v>
      </c>
      <c r="C168" s="143" t="s">
        <v>189</v>
      </c>
      <c r="D168" s="142" t="s">
        <v>323</v>
      </c>
      <c r="E168" s="265">
        <f ca="1">IFERROR(IF(UC_DADOS!B37="","",UC_DADOS!B37),"")</f>
        <v>0</v>
      </c>
    </row>
    <row r="169" spans="1:6" x14ac:dyDescent="0.25">
      <c r="A169" t="s">
        <v>324</v>
      </c>
      <c r="B169" s="143">
        <v>27</v>
      </c>
      <c r="C169" s="143" t="s">
        <v>189</v>
      </c>
      <c r="D169" s="142" t="s">
        <v>325</v>
      </c>
      <c r="E169" s="265" t="str">
        <f>IFERROR(IF('Análise Econômica'!E4="","",'Análise Econômica'!E4),"")</f>
        <v/>
      </c>
    </row>
    <row r="170" spans="1:6" x14ac:dyDescent="0.25">
      <c r="A170" t="s">
        <v>326</v>
      </c>
      <c r="B170" s="143">
        <v>27</v>
      </c>
      <c r="C170" s="143" t="s">
        <v>189</v>
      </c>
      <c r="D170" s="142" t="s">
        <v>327</v>
      </c>
      <c r="E170" s="317" t="str">
        <f>IFERROR(IF(UC_DADOS!B38="","",TEXT(UC_DADOS!B38,"0,00")),"")</f>
        <v>0,00</v>
      </c>
    </row>
    <row r="171" spans="1:6" x14ac:dyDescent="0.25">
      <c r="A171" s="278" t="s">
        <v>328</v>
      </c>
      <c r="B171" s="143">
        <v>28</v>
      </c>
      <c r="C171" s="143" t="s">
        <v>329</v>
      </c>
      <c r="D171" s="142" t="s">
        <v>330</v>
      </c>
      <c r="E171" s="318">
        <f>IFERROR(IF(TABELAS_RESUMO_2!D6="","",TABELAS_RESUMO_2!D6),"")</f>
        <v>0</v>
      </c>
    </row>
    <row r="172" spans="1:6" x14ac:dyDescent="0.25">
      <c r="A172" s="278" t="s">
        <v>331</v>
      </c>
      <c r="B172" s="143">
        <v>28</v>
      </c>
      <c r="C172" s="143" t="s">
        <v>329</v>
      </c>
      <c r="D172" s="142" t="s">
        <v>332</v>
      </c>
      <c r="E172" s="318">
        <f>IFERROR(IF(TABELAS_RESUMO_2!D7="","",TABELAS_RESUMO_2!D7),"")</f>
        <v>0</v>
      </c>
    </row>
    <row r="173" spans="1:6" x14ac:dyDescent="0.25">
      <c r="A173" s="278" t="s">
        <v>333</v>
      </c>
      <c r="B173" s="143">
        <v>28</v>
      </c>
      <c r="C173" s="143" t="s">
        <v>329</v>
      </c>
      <c r="D173" s="142" t="s">
        <v>334</v>
      </c>
      <c r="E173" s="319" t="str">
        <f>IFERROR(IF(TABELAS_RESUMO_2!D8="","",TABELAS_RESUMO_2!D8),"")</f>
        <v/>
      </c>
    </row>
    <row r="174" spans="1:6" x14ac:dyDescent="0.25">
      <c r="A174" s="278" t="s">
        <v>335</v>
      </c>
      <c r="B174" s="143">
        <v>28</v>
      </c>
      <c r="C174" s="143" t="s">
        <v>329</v>
      </c>
      <c r="D174" s="142" t="s">
        <v>336</v>
      </c>
      <c r="E174" s="318">
        <f>IFERROR(IF(TABELAS_RESUMO_2!D11="","",TABELAS_RESUMO_2!D11),"")</f>
        <v>0</v>
      </c>
    </row>
    <row r="175" spans="1:6" x14ac:dyDescent="0.25">
      <c r="A175" s="278" t="s">
        <v>337</v>
      </c>
      <c r="B175" s="143">
        <v>28</v>
      </c>
      <c r="C175" s="143" t="s">
        <v>329</v>
      </c>
      <c r="D175" s="142" t="s">
        <v>338</v>
      </c>
      <c r="E175" s="318">
        <f>IFERROR(IF(TABELAS_RESUMO_2!D12="","",TABELAS_RESUMO_2!D12),"")</f>
        <v>0</v>
      </c>
    </row>
    <row r="176" spans="1:6" x14ac:dyDescent="0.25">
      <c r="A176" s="278" t="s">
        <v>339</v>
      </c>
      <c r="B176" s="143">
        <v>28</v>
      </c>
      <c r="C176" s="143" t="s">
        <v>329</v>
      </c>
      <c r="D176" s="142" t="s">
        <v>340</v>
      </c>
      <c r="E176" s="319">
        <v>0</v>
      </c>
    </row>
    <row r="177" spans="1:5" x14ac:dyDescent="0.25">
      <c r="A177" s="278" t="s">
        <v>341</v>
      </c>
      <c r="B177" s="143">
        <v>28</v>
      </c>
      <c r="C177" s="143" t="s">
        <v>329</v>
      </c>
      <c r="D177" s="142" t="s">
        <v>342</v>
      </c>
      <c r="E177" s="317">
        <f>IFERROR(IF(TABELAS_RESUMO_2!D15="","",TABELAS_RESUMO_2!D15),"")</f>
        <v>0</v>
      </c>
    </row>
    <row r="178" spans="1:5" x14ac:dyDescent="0.25">
      <c r="A178" s="278" t="s">
        <v>343</v>
      </c>
      <c r="B178" s="143">
        <v>28</v>
      </c>
      <c r="C178" s="143" t="s">
        <v>329</v>
      </c>
      <c r="D178" s="142" t="s">
        <v>344</v>
      </c>
      <c r="E178" s="317">
        <f>IFERROR(IF(TABELAS_RESUMO_2!D16="","",TABELAS_RESUMO_2!D16),"")</f>
        <v>0</v>
      </c>
    </row>
    <row r="179" spans="1:5" x14ac:dyDescent="0.25">
      <c r="A179" s="278" t="s">
        <v>345</v>
      </c>
      <c r="B179" s="143">
        <v>28</v>
      </c>
      <c r="C179" s="143" t="s">
        <v>329</v>
      </c>
      <c r="D179" s="142" t="s">
        <v>346</v>
      </c>
      <c r="E179" s="320" t="str">
        <f>IFERROR(IF(TABELAS_RESUMO_2!D17="","",TABELAS_RESUMO_2!D17),"")</f>
        <v/>
      </c>
    </row>
    <row r="180" spans="1:5" x14ac:dyDescent="0.25">
      <c r="A180" s="278" t="s">
        <v>347</v>
      </c>
      <c r="B180" s="143">
        <v>28</v>
      </c>
      <c r="C180" s="143" t="s">
        <v>329</v>
      </c>
      <c r="D180" s="142" t="s">
        <v>348</v>
      </c>
      <c r="E180" s="319" t="str">
        <f>IFERROR(IF(TABELAS_RESUMO_2!D18="","",TABELAS_RESUMO_2!D18),"")</f>
        <v/>
      </c>
    </row>
    <row r="181" spans="1:5" x14ac:dyDescent="0.25">
      <c r="A181" s="278" t="s">
        <v>349</v>
      </c>
      <c r="B181" s="143">
        <v>28</v>
      </c>
      <c r="C181" s="143" t="s">
        <v>329</v>
      </c>
      <c r="D181" s="142" t="s">
        <v>350</v>
      </c>
      <c r="E181" s="319">
        <f>IFERROR(IF(TABELAS_RESUMO_2!D19="","",TABELAS_RESUMO_2!D19),"")</f>
        <v>299.89999999999998</v>
      </c>
    </row>
    <row r="182" spans="1:5" x14ac:dyDescent="0.25">
      <c r="A182" s="279" t="s">
        <v>351</v>
      </c>
      <c r="B182" s="143">
        <v>29</v>
      </c>
      <c r="C182" s="143" t="s">
        <v>329</v>
      </c>
      <c r="D182" s="142" t="s">
        <v>352</v>
      </c>
      <c r="E182" s="318">
        <f>IFERROR(IF(TABELAS_RESUMO_2!H6="","",TABELAS_RESUMO_2!H6),"")</f>
        <v>0</v>
      </c>
    </row>
    <row r="183" spans="1:5" x14ac:dyDescent="0.25">
      <c r="A183" s="279" t="s">
        <v>353</v>
      </c>
      <c r="B183" s="143">
        <v>29</v>
      </c>
      <c r="C183" s="143" t="s">
        <v>329</v>
      </c>
      <c r="D183" s="142" t="s">
        <v>354</v>
      </c>
      <c r="E183" s="318">
        <f>IFERROR(IF(TABELAS_RESUMO_2!H7="","",TABELAS_RESUMO_2!H7),"")</f>
        <v>0</v>
      </c>
    </row>
    <row r="184" spans="1:5" x14ac:dyDescent="0.25">
      <c r="A184" s="279" t="s">
        <v>355</v>
      </c>
      <c r="B184" s="143">
        <v>29</v>
      </c>
      <c r="C184" s="143" t="s">
        <v>329</v>
      </c>
      <c r="D184" s="142" t="s">
        <v>356</v>
      </c>
      <c r="E184" s="319" t="str">
        <f>IFERROR(IF(TABELAS_RESUMO_2!H8="","",TABELAS_RESUMO_2!H8),"")</f>
        <v/>
      </c>
    </row>
    <row r="185" spans="1:5" x14ac:dyDescent="0.25">
      <c r="A185" s="279" t="s">
        <v>357</v>
      </c>
      <c r="B185" s="143">
        <v>29</v>
      </c>
      <c r="C185" s="143" t="s">
        <v>329</v>
      </c>
      <c r="D185" s="142" t="s">
        <v>358</v>
      </c>
      <c r="E185" s="318">
        <f>IFERROR(IF(TABELAS_RESUMO_2!H11="","",TABELAS_RESUMO_2!H11),"")</f>
        <v>0</v>
      </c>
    </row>
    <row r="186" spans="1:5" x14ac:dyDescent="0.25">
      <c r="A186" s="279" t="s">
        <v>359</v>
      </c>
      <c r="B186" s="143">
        <v>29</v>
      </c>
      <c r="C186" s="143" t="s">
        <v>329</v>
      </c>
      <c r="D186" s="142" t="s">
        <v>360</v>
      </c>
      <c r="E186" s="318">
        <f>IFERROR(IF(TABELAS_RESUMO_2!H12="","",TABELAS_RESUMO_2!H12),"")</f>
        <v>0</v>
      </c>
    </row>
    <row r="187" spans="1:5" x14ac:dyDescent="0.25">
      <c r="A187" s="279" t="s">
        <v>361</v>
      </c>
      <c r="B187" s="143">
        <v>29</v>
      </c>
      <c r="C187" s="143" t="s">
        <v>329</v>
      </c>
      <c r="D187" s="142" t="s">
        <v>362</v>
      </c>
      <c r="E187" s="319" t="str">
        <f>IFERROR(IF(TABELAS_RESUMO_2!H13="","",TABELAS_RESUMO_2!H13),"")</f>
        <v/>
      </c>
    </row>
    <row r="188" spans="1:5" x14ac:dyDescent="0.25">
      <c r="A188" s="279" t="s">
        <v>363</v>
      </c>
      <c r="B188" s="143">
        <v>29</v>
      </c>
      <c r="C188" s="143" t="s">
        <v>329</v>
      </c>
      <c r="D188" s="142" t="s">
        <v>364</v>
      </c>
      <c r="E188" s="318">
        <f>IFERROR(IF(TABELAS_RESUMO_2!H15="","",TABELAS_RESUMO_2!H15),"")</f>
        <v>0</v>
      </c>
    </row>
    <row r="189" spans="1:5" x14ac:dyDescent="0.25">
      <c r="A189" s="279" t="s">
        <v>365</v>
      </c>
      <c r="B189" s="143">
        <v>29</v>
      </c>
      <c r="C189" s="143" t="s">
        <v>329</v>
      </c>
      <c r="D189" s="142" t="s">
        <v>366</v>
      </c>
      <c r="E189" s="318">
        <f>IFERROR(IF(TABELAS_RESUMO_2!H16="","",TABELAS_RESUMO_2!H16),"")</f>
        <v>0</v>
      </c>
    </row>
    <row r="190" spans="1:5" x14ac:dyDescent="0.25">
      <c r="A190" s="279" t="s">
        <v>367</v>
      </c>
      <c r="B190" s="143">
        <v>29</v>
      </c>
      <c r="C190" s="143" t="s">
        <v>329</v>
      </c>
      <c r="D190" s="142" t="s">
        <v>368</v>
      </c>
      <c r="E190" s="320" t="str">
        <f>IFERROR(IF(TABELAS_RESUMO_2!H17="","",TABELAS_RESUMO_2!H17),"")</f>
        <v/>
      </c>
    </row>
    <row r="191" spans="1:5" x14ac:dyDescent="0.25">
      <c r="A191" s="279" t="s">
        <v>369</v>
      </c>
      <c r="B191" s="143">
        <v>29</v>
      </c>
      <c r="C191" s="143" t="s">
        <v>329</v>
      </c>
      <c r="D191" s="142" t="s">
        <v>370</v>
      </c>
      <c r="E191" s="319" t="str">
        <f>IFERROR(IF(TABELAS_RESUMO_2!H18="","",TABELAS_RESUMO_2!H18),"")</f>
        <v/>
      </c>
    </row>
    <row r="192" spans="1:5" x14ac:dyDescent="0.25">
      <c r="A192" s="279" t="s">
        <v>371</v>
      </c>
      <c r="B192" s="143">
        <v>29</v>
      </c>
      <c r="C192" s="143" t="s">
        <v>329</v>
      </c>
      <c r="D192" s="142" t="s">
        <v>372</v>
      </c>
      <c r="E192" s="319">
        <f>IFERROR(IF(TABELAS_RESUMO_2!H19="","",TABELAS_RESUMO_2!H19),"")</f>
        <v>0</v>
      </c>
    </row>
    <row r="193" spans="1:5" x14ac:dyDescent="0.25">
      <c r="A193" s="271" t="s">
        <v>373</v>
      </c>
      <c r="B193" s="143">
        <v>29</v>
      </c>
      <c r="C193" s="143" t="s">
        <v>329</v>
      </c>
      <c r="D193" s="142" t="s">
        <v>374</v>
      </c>
      <c r="E193" s="318">
        <f>IFERROR(IF(TABELAS_RESUMO_2!D26="","",TABELAS_RESUMO_2!D26),"")</f>
        <v>0</v>
      </c>
    </row>
    <row r="194" spans="1:5" x14ac:dyDescent="0.25">
      <c r="A194" s="271" t="s">
        <v>375</v>
      </c>
      <c r="B194" s="143">
        <v>29</v>
      </c>
      <c r="C194" s="143" t="s">
        <v>329</v>
      </c>
      <c r="D194" s="142" t="s">
        <v>376</v>
      </c>
      <c r="E194" s="318">
        <f>IFERROR(IF(TABELAS_RESUMO_2!D27="","",TABELAS_RESUMO_2!D27),"")</f>
        <v>0</v>
      </c>
    </row>
    <row r="195" spans="1:5" x14ac:dyDescent="0.25">
      <c r="A195" s="271" t="s">
        <v>377</v>
      </c>
      <c r="B195" s="143">
        <v>29</v>
      </c>
      <c r="C195" s="143" t="s">
        <v>329</v>
      </c>
      <c r="D195" s="142" t="s">
        <v>378</v>
      </c>
      <c r="E195" s="319" t="str">
        <f>IFERROR(IF(TABELAS_RESUMO_2!D28="","",TABELAS_RESUMO_2!D28),"")</f>
        <v/>
      </c>
    </row>
    <row r="196" spans="1:5" x14ac:dyDescent="0.25">
      <c r="A196" s="271" t="s">
        <v>379</v>
      </c>
      <c r="B196" s="143">
        <v>29</v>
      </c>
      <c r="C196" s="143" t="s">
        <v>329</v>
      </c>
      <c r="D196" s="142" t="s">
        <v>380</v>
      </c>
      <c r="E196" s="318">
        <f>IFERROR(IF(TABELAS_RESUMO_2!D31="","",TABELAS_RESUMO_2!D31),"")</f>
        <v>0</v>
      </c>
    </row>
    <row r="197" spans="1:5" x14ac:dyDescent="0.25">
      <c r="A197" s="271" t="s">
        <v>381</v>
      </c>
      <c r="B197" s="143">
        <v>29</v>
      </c>
      <c r="C197" s="143" t="s">
        <v>329</v>
      </c>
      <c r="D197" s="142" t="s">
        <v>382</v>
      </c>
      <c r="E197" s="318">
        <f>IFERROR(IF(TABELAS_RESUMO_2!D32="","",TABELAS_RESUMO_2!D32),"")</f>
        <v>0</v>
      </c>
    </row>
    <row r="198" spans="1:5" x14ac:dyDescent="0.25">
      <c r="A198" s="271" t="s">
        <v>383</v>
      </c>
      <c r="B198" s="143">
        <v>29</v>
      </c>
      <c r="C198" s="143" t="s">
        <v>329</v>
      </c>
      <c r="D198" s="142" t="s">
        <v>384</v>
      </c>
      <c r="E198" s="318" t="str">
        <f>IFERROR(IF(TABELAS_RESUMO_2!D33="","",TABELAS_RESUMO_2!D33),"")</f>
        <v/>
      </c>
    </row>
    <row r="199" spans="1:5" x14ac:dyDescent="0.25">
      <c r="A199" s="271" t="s">
        <v>385</v>
      </c>
      <c r="B199" s="143">
        <v>29</v>
      </c>
      <c r="C199" s="143" t="s">
        <v>329</v>
      </c>
      <c r="D199" s="142" t="s">
        <v>386</v>
      </c>
      <c r="E199" s="318">
        <f>IFERROR(IF(TABELAS_RESUMO_2!D35="","",TABELAS_RESUMO_2!D35),"")</f>
        <v>0</v>
      </c>
    </row>
    <row r="200" spans="1:5" x14ac:dyDescent="0.25">
      <c r="A200" s="271" t="s">
        <v>387</v>
      </c>
      <c r="B200" s="143">
        <v>29</v>
      </c>
      <c r="C200" s="143" t="s">
        <v>329</v>
      </c>
      <c r="D200" s="142" t="s">
        <v>388</v>
      </c>
      <c r="E200" s="318">
        <f>IFERROR(IF(TABELAS_RESUMO_2!D36="","",TABELAS_RESUMO_2!D36),"")</f>
        <v>0</v>
      </c>
    </row>
    <row r="201" spans="1:5" x14ac:dyDescent="0.25">
      <c r="A201" s="271" t="s">
        <v>389</v>
      </c>
      <c r="B201" s="143">
        <v>29</v>
      </c>
      <c r="C201" s="143" t="s">
        <v>329</v>
      </c>
      <c r="D201" s="142" t="s">
        <v>390</v>
      </c>
      <c r="E201" s="320" t="str">
        <f>IFERROR(IF(TABELAS_RESUMO_2!D37="","",TABELAS_RESUMO_2!D37),"")</f>
        <v/>
      </c>
    </row>
    <row r="202" spans="1:5" x14ac:dyDescent="0.25">
      <c r="A202" s="271" t="s">
        <v>391</v>
      </c>
      <c r="B202" s="143">
        <v>29</v>
      </c>
      <c r="C202" s="143" t="s">
        <v>329</v>
      </c>
      <c r="D202" s="142" t="s">
        <v>392</v>
      </c>
      <c r="E202" s="318" t="str">
        <f>IFERROR(IF(TABELAS_RESUMO_2!D38="","",TABELAS_RESUMO_2!D38),"")</f>
        <v/>
      </c>
    </row>
    <row r="203" spans="1:5" x14ac:dyDescent="0.25">
      <c r="A203" s="271" t="s">
        <v>393</v>
      </c>
      <c r="B203" s="143">
        <v>29</v>
      </c>
      <c r="C203" s="143" t="s">
        <v>329</v>
      </c>
      <c r="D203" s="142" t="s">
        <v>394</v>
      </c>
      <c r="E203" s="318">
        <f>IFERROR(IF(TABELAS_RESUMO_2!D39="","",TABELAS_RESUMO_2!D39),"")</f>
        <v>0</v>
      </c>
    </row>
    <row r="204" spans="1:5" x14ac:dyDescent="0.25">
      <c r="A204" s="295" t="s">
        <v>395</v>
      </c>
      <c r="B204" s="143">
        <v>30</v>
      </c>
      <c r="C204" s="143" t="s">
        <v>329</v>
      </c>
      <c r="D204" s="142" t="s">
        <v>396</v>
      </c>
      <c r="E204" s="318">
        <f>IFERROR(IF(TABELAS_RESUMO_2!D66="","",TABELAS_RESUMO_2!D66),"")</f>
        <v>0</v>
      </c>
    </row>
    <row r="205" spans="1:5" x14ac:dyDescent="0.25">
      <c r="A205" s="295" t="s">
        <v>397</v>
      </c>
      <c r="B205" s="143">
        <v>30</v>
      </c>
      <c r="C205" s="143" t="s">
        <v>329</v>
      </c>
      <c r="D205" s="142" t="s">
        <v>398</v>
      </c>
      <c r="E205" s="318">
        <f>IFERROR(IF(TABELAS_RESUMO_2!D67="","",TABELAS_RESUMO_2!D67),"")</f>
        <v>0</v>
      </c>
    </row>
    <row r="206" spans="1:5" x14ac:dyDescent="0.25">
      <c r="A206" s="295" t="s">
        <v>399</v>
      </c>
      <c r="B206" s="143">
        <v>30</v>
      </c>
      <c r="C206" s="143" t="s">
        <v>329</v>
      </c>
      <c r="D206" s="142" t="s">
        <v>400</v>
      </c>
      <c r="E206" s="318" t="str">
        <f>IFERROR(IF(TABELAS_RESUMO_2!D68="","",TABELAS_RESUMO_2!D68),"")</f>
        <v/>
      </c>
    </row>
    <row r="207" spans="1:5" x14ac:dyDescent="0.25">
      <c r="A207" s="295" t="s">
        <v>401</v>
      </c>
      <c r="B207" s="143">
        <v>30</v>
      </c>
      <c r="C207" s="143" t="s">
        <v>329</v>
      </c>
      <c r="D207" s="142" t="s">
        <v>402</v>
      </c>
      <c r="E207" s="318">
        <f>IFERROR(IF(TABELAS_RESUMO_2!D71="","",TABELAS_RESUMO_2!D71),"")</f>
        <v>0</v>
      </c>
    </row>
    <row r="208" spans="1:5" x14ac:dyDescent="0.25">
      <c r="A208" s="295" t="s">
        <v>403</v>
      </c>
      <c r="B208" s="143">
        <v>30</v>
      </c>
      <c r="C208" s="143" t="s">
        <v>329</v>
      </c>
      <c r="D208" s="142" t="s">
        <v>404</v>
      </c>
      <c r="E208" s="318">
        <f>IFERROR(IF(TABELAS_RESUMO_2!D72="","",TABELAS_RESUMO_2!D72),"")</f>
        <v>0</v>
      </c>
    </row>
    <row r="209" spans="1:5" x14ac:dyDescent="0.25">
      <c r="A209" s="295" t="s">
        <v>405</v>
      </c>
      <c r="B209" s="143">
        <v>30</v>
      </c>
      <c r="C209" s="143" t="s">
        <v>329</v>
      </c>
      <c r="D209" s="142" t="s">
        <v>406</v>
      </c>
      <c r="E209" s="318" t="str">
        <f>IFERROR(IF(TABELAS_RESUMO_2!D73="","",TABELAS_RESUMO_2!D73),"")</f>
        <v/>
      </c>
    </row>
    <row r="210" spans="1:5" x14ac:dyDescent="0.25">
      <c r="A210" s="295" t="s">
        <v>407</v>
      </c>
      <c r="B210" s="143">
        <v>30</v>
      </c>
      <c r="C210" s="143" t="s">
        <v>329</v>
      </c>
      <c r="D210" s="142" t="s">
        <v>408</v>
      </c>
      <c r="E210" s="318">
        <f>IFERROR(IF(TABELAS_RESUMO_2!D75="","",TABELAS_RESUMO_2!D75),"")</f>
        <v>0</v>
      </c>
    </row>
    <row r="211" spans="1:5" x14ac:dyDescent="0.25">
      <c r="A211" s="295" t="s">
        <v>409</v>
      </c>
      <c r="B211" s="143">
        <v>30</v>
      </c>
      <c r="C211" s="143" t="s">
        <v>329</v>
      </c>
      <c r="D211" s="142" t="s">
        <v>410</v>
      </c>
      <c r="E211" s="318">
        <f>IFERROR(IF(TABELAS_RESUMO_2!D76="","",TABELAS_RESUMO_2!D76),"")</f>
        <v>0</v>
      </c>
    </row>
    <row r="212" spans="1:5" x14ac:dyDescent="0.25">
      <c r="A212" s="295" t="s">
        <v>411</v>
      </c>
      <c r="B212" s="143">
        <v>30</v>
      </c>
      <c r="C212" s="143" t="s">
        <v>329</v>
      </c>
      <c r="D212" s="142" t="s">
        <v>412</v>
      </c>
      <c r="E212" s="320" t="str">
        <f>IFERROR(IF(TABELAS_RESUMO_2!D77="","",TABELAS_RESUMO_2!D77),"")</f>
        <v/>
      </c>
    </row>
    <row r="213" spans="1:5" x14ac:dyDescent="0.25">
      <c r="A213" s="295" t="s">
        <v>413</v>
      </c>
      <c r="B213" s="143">
        <v>30</v>
      </c>
      <c r="C213" s="143" t="s">
        <v>329</v>
      </c>
      <c r="D213" s="142" t="s">
        <v>414</v>
      </c>
      <c r="E213" s="318" t="str">
        <f>IFERROR(IF(TABELAS_RESUMO_2!D78="","",TABELAS_RESUMO_2!D78),"")</f>
        <v/>
      </c>
    </row>
    <row r="214" spans="1:5" x14ac:dyDescent="0.25">
      <c r="A214" s="295" t="s">
        <v>415</v>
      </c>
      <c r="B214" s="143">
        <v>30</v>
      </c>
      <c r="C214" s="143" t="s">
        <v>329</v>
      </c>
      <c r="D214" s="142" t="s">
        <v>416</v>
      </c>
      <c r="E214" s="318">
        <f>IFERROR(IF(TABELAS_RESUMO_2!D79="","",TABELAS_RESUMO_2!D79),"")</f>
        <v>0</v>
      </c>
    </row>
    <row r="215" spans="1:5" x14ac:dyDescent="0.25">
      <c r="A215" s="296" t="s">
        <v>417</v>
      </c>
      <c r="B215" s="143">
        <v>30</v>
      </c>
      <c r="C215" s="143" t="s">
        <v>329</v>
      </c>
      <c r="D215" s="142" t="s">
        <v>418</v>
      </c>
      <c r="E215" s="318">
        <f>IFERROR(IF(TABELAS_RESUMO_2!D46="","",TABELAS_RESUMO_2!D46),"")</f>
        <v>0</v>
      </c>
    </row>
    <row r="216" spans="1:5" x14ac:dyDescent="0.25">
      <c r="A216" s="296" t="s">
        <v>419</v>
      </c>
      <c r="B216" s="143">
        <v>30</v>
      </c>
      <c r="C216" s="143" t="s">
        <v>329</v>
      </c>
      <c r="D216" s="142" t="s">
        <v>420</v>
      </c>
      <c r="E216" s="318">
        <f>IFERROR(IF(TABELAS_RESUMO_2!D47="","",TABELAS_RESUMO_2!D47),"")</f>
        <v>0</v>
      </c>
    </row>
    <row r="217" spans="1:5" x14ac:dyDescent="0.25">
      <c r="A217" s="296" t="s">
        <v>421</v>
      </c>
      <c r="B217" s="143">
        <v>30</v>
      </c>
      <c r="C217" s="143" t="s">
        <v>329</v>
      </c>
      <c r="D217" s="142" t="s">
        <v>422</v>
      </c>
      <c r="E217" s="318" t="str">
        <f>IFERROR(IF(TABELAS_RESUMO_2!D48="","",TABELAS_RESUMO_2!D48),"")</f>
        <v/>
      </c>
    </row>
    <row r="218" spans="1:5" x14ac:dyDescent="0.25">
      <c r="A218" s="296" t="s">
        <v>423</v>
      </c>
      <c r="B218" s="143">
        <v>30</v>
      </c>
      <c r="C218" s="143" t="s">
        <v>329</v>
      </c>
      <c r="D218" s="142" t="s">
        <v>424</v>
      </c>
      <c r="E218" s="318">
        <f>IFERROR(IF(TABELAS_RESUMO_2!D51="","",TABELAS_RESUMO_2!D51),"")</f>
        <v>0</v>
      </c>
    </row>
    <row r="219" spans="1:5" x14ac:dyDescent="0.25">
      <c r="A219" s="296" t="s">
        <v>425</v>
      </c>
      <c r="B219" s="143">
        <v>30</v>
      </c>
      <c r="C219" s="143" t="s">
        <v>329</v>
      </c>
      <c r="D219" s="142" t="s">
        <v>426</v>
      </c>
      <c r="E219" s="318">
        <f>IFERROR(IF(TABELAS_RESUMO_2!D52="","",TABELAS_RESUMO_2!D52),"")</f>
        <v>0</v>
      </c>
    </row>
    <row r="220" spans="1:5" x14ac:dyDescent="0.25">
      <c r="A220" s="296" t="s">
        <v>427</v>
      </c>
      <c r="B220" s="143">
        <v>30</v>
      </c>
      <c r="C220" s="143" t="s">
        <v>329</v>
      </c>
      <c r="D220" s="142" t="s">
        <v>428</v>
      </c>
      <c r="E220" s="318" t="str">
        <f>IFERROR(IF(TABELAS_RESUMO_2!D53="","",TABELAS_RESUMO_2!D53),"")</f>
        <v/>
      </c>
    </row>
    <row r="221" spans="1:5" x14ac:dyDescent="0.25">
      <c r="A221" s="296" t="s">
        <v>429</v>
      </c>
      <c r="B221" s="143">
        <v>30</v>
      </c>
      <c r="C221" s="143" t="s">
        <v>329</v>
      </c>
      <c r="D221" s="142" t="s">
        <v>430</v>
      </c>
      <c r="E221" s="318">
        <f>IFERROR(IF(TABELAS_RESUMO_2!D55="","",TABELAS_RESUMO_2!D55),"")</f>
        <v>0</v>
      </c>
    </row>
    <row r="222" spans="1:5" x14ac:dyDescent="0.25">
      <c r="A222" s="296" t="s">
        <v>431</v>
      </c>
      <c r="B222" s="143">
        <v>30</v>
      </c>
      <c r="C222" s="143" t="s">
        <v>329</v>
      </c>
      <c r="D222" s="142" t="s">
        <v>432</v>
      </c>
      <c r="E222" s="318">
        <f>IFERROR(IF(TABELAS_RESUMO_2!D56="","",TABELAS_RESUMO_2!D56),"")</f>
        <v>0</v>
      </c>
    </row>
    <row r="223" spans="1:5" x14ac:dyDescent="0.25">
      <c r="A223" s="296" t="s">
        <v>433</v>
      </c>
      <c r="B223" s="143">
        <v>30</v>
      </c>
      <c r="C223" s="143" t="s">
        <v>329</v>
      </c>
      <c r="D223" s="142" t="s">
        <v>434</v>
      </c>
      <c r="E223" s="320" t="str">
        <f>IFERROR(IF(TABELAS_RESUMO_2!D57="","",TABELAS_RESUMO_2!D57),"")</f>
        <v/>
      </c>
    </row>
    <row r="224" spans="1:5" x14ac:dyDescent="0.25">
      <c r="A224" s="296" t="s">
        <v>435</v>
      </c>
      <c r="B224" s="143">
        <v>30</v>
      </c>
      <c r="C224" s="143" t="s">
        <v>329</v>
      </c>
      <c r="D224" s="142" t="s">
        <v>436</v>
      </c>
      <c r="E224" s="318" t="str">
        <f>IFERROR(IF(TABELAS_RESUMO_2!D58="","",TABELAS_RESUMO_2!D58),"")</f>
        <v/>
      </c>
    </row>
    <row r="225" spans="1:5" x14ac:dyDescent="0.25">
      <c r="A225" s="296" t="s">
        <v>437</v>
      </c>
      <c r="B225" s="143">
        <v>30</v>
      </c>
      <c r="C225" s="143" t="s">
        <v>329</v>
      </c>
      <c r="D225" s="142" t="s">
        <v>438</v>
      </c>
      <c r="E225" s="318">
        <f>IFERROR(IF(TABELAS_RESUMO_2!D59="","",TABELAS_RESUMO_2!D59),"")</f>
        <v>0</v>
      </c>
    </row>
    <row r="226" spans="1:5" x14ac:dyDescent="0.25">
      <c r="A226" s="297" t="s">
        <v>32</v>
      </c>
      <c r="B226" s="143">
        <v>31</v>
      </c>
      <c r="C226" s="143" t="s">
        <v>329</v>
      </c>
      <c r="D226" s="142" t="s">
        <v>439</v>
      </c>
      <c r="E226" s="316" t="str">
        <f>IFERROR(IF(TABELAS_RESUMO!B2="","",TABELAS_RESUMO!B2),"")</f>
        <v>Substituição por LED e sensores de presença</v>
      </c>
    </row>
    <row r="227" spans="1:5" x14ac:dyDescent="0.25">
      <c r="A227" s="297" t="s">
        <v>35</v>
      </c>
      <c r="B227" s="143">
        <v>31</v>
      </c>
      <c r="C227" s="143" t="s">
        <v>329</v>
      </c>
      <c r="D227" s="142" t="s">
        <v>440</v>
      </c>
      <c r="E227" s="316" t="str">
        <f>IFERROR(IF(TABELAS_RESUMO!B3="","",TABELAS_RESUMO!B3),"")</f>
        <v>Troca de aparelhos de ar-condicionado e automação</v>
      </c>
    </row>
    <row r="228" spans="1:5" x14ac:dyDescent="0.25">
      <c r="A228" s="297" t="s">
        <v>37</v>
      </c>
      <c r="B228" s="143">
        <v>31</v>
      </c>
      <c r="C228" s="143" t="s">
        <v>329</v>
      </c>
      <c r="D228" s="142" t="s">
        <v>441</v>
      </c>
      <c r="E228" s="316" t="str">
        <f>IFERROR(IF(TABELAS_RESUMO!B4="","",TABELAS_RESUMO!B4),"")</f>
        <v>Substituição por motores de alto rendimento</v>
      </c>
    </row>
    <row r="229" spans="1:5" x14ac:dyDescent="0.25">
      <c r="A229" s="297" t="s">
        <v>39</v>
      </c>
      <c r="B229" s="143">
        <v>31</v>
      </c>
      <c r="C229" s="143" t="s">
        <v>329</v>
      </c>
      <c r="D229" s="142" t="s">
        <v>442</v>
      </c>
      <c r="E229" s="316" t="str">
        <f>IFERROR(IF(TABELAS_RESUMO!B5="","",TABELAS_RESUMO!B5),"")</f>
        <v>Substituição de equipamentos antigos</v>
      </c>
    </row>
    <row r="230" spans="1:5" x14ac:dyDescent="0.25">
      <c r="A230" s="297" t="s">
        <v>443</v>
      </c>
      <c r="B230" s="143">
        <v>31</v>
      </c>
      <c r="C230" s="143" t="s">
        <v>329</v>
      </c>
      <c r="D230" s="142" t="s">
        <v>444</v>
      </c>
      <c r="E230" s="316" t="str">
        <f>IFERROR(IF(TABELAS_RESUMO!B6="","",TABELAS_RESUMO!B6),"")</f>
        <v>Instalação de sistema solar térmico</v>
      </c>
    </row>
    <row r="231" spans="1:5" x14ac:dyDescent="0.25">
      <c r="A231" s="297" t="s">
        <v>41</v>
      </c>
      <c r="B231" s="143">
        <v>31</v>
      </c>
      <c r="C231" s="143" t="s">
        <v>329</v>
      </c>
      <c r="D231" s="142" t="s">
        <v>445</v>
      </c>
      <c r="E231" s="316" t="str">
        <f>IFERROR(IF(TABELAS_RESUMO!B7="","",TABELAS_RESUMO!B7),"")</f>
        <v>Implantação de sistema de geração distribuída</v>
      </c>
    </row>
    <row r="232" spans="1:5" x14ac:dyDescent="0.25">
      <c r="A232" s="144" t="s">
        <v>43</v>
      </c>
      <c r="B232" s="143">
        <v>31</v>
      </c>
      <c r="C232" s="143" t="s">
        <v>329</v>
      </c>
      <c r="D232" s="142" t="s">
        <v>446</v>
      </c>
      <c r="E232" s="317" t="str">
        <f>IFERROR(IF(TABELAS_RESUMO!C2="","",TABELAS_RESUMO!C2),"")</f>
        <v/>
      </c>
    </row>
    <row r="233" spans="1:5" x14ac:dyDescent="0.25">
      <c r="A233" s="144" t="s">
        <v>45</v>
      </c>
      <c r="B233" s="143">
        <v>31</v>
      </c>
      <c r="C233" s="143" t="s">
        <v>329</v>
      </c>
      <c r="D233" s="142" t="s">
        <v>447</v>
      </c>
      <c r="E233" s="317" t="str">
        <f>IFERROR(IF(TABELAS_RESUMO!C3="","",TABELAS_RESUMO!C3),"")</f>
        <v/>
      </c>
    </row>
    <row r="234" spans="1:5" x14ac:dyDescent="0.25">
      <c r="A234" s="144" t="s">
        <v>47</v>
      </c>
      <c r="B234" s="143">
        <v>31</v>
      </c>
      <c r="C234" s="143" t="s">
        <v>329</v>
      </c>
      <c r="D234" s="142" t="s">
        <v>448</v>
      </c>
      <c r="E234" s="317" t="str">
        <f>IFERROR(IF(TABELAS_RESUMO!C4="","",TABELAS_RESUMO!C4),"")</f>
        <v/>
      </c>
    </row>
    <row r="235" spans="1:5" x14ac:dyDescent="0.25">
      <c r="A235" s="144" t="s">
        <v>49</v>
      </c>
      <c r="B235" s="143">
        <v>31</v>
      </c>
      <c r="C235" s="143" t="s">
        <v>329</v>
      </c>
      <c r="D235" s="142" t="s">
        <v>449</v>
      </c>
      <c r="E235" s="317" t="str">
        <f>IFERROR(IF(TABELAS_RESUMO!C5="","",TABELAS_RESUMO!C5),"")</f>
        <v/>
      </c>
    </row>
    <row r="236" spans="1:5" x14ac:dyDescent="0.25">
      <c r="A236" s="144" t="s">
        <v>450</v>
      </c>
      <c r="B236" s="143">
        <v>31</v>
      </c>
      <c r="C236" s="143" t="s">
        <v>329</v>
      </c>
      <c r="D236" s="142" t="s">
        <v>451</v>
      </c>
      <c r="E236" s="317" t="str">
        <f>IFERROR(IF(TABELAS_RESUMO!C6="","",TABELAS_RESUMO!C6),"")</f>
        <v/>
      </c>
    </row>
    <row r="237" spans="1:5" x14ac:dyDescent="0.25">
      <c r="A237" s="144" t="s">
        <v>51</v>
      </c>
      <c r="B237" s="143">
        <v>31</v>
      </c>
      <c r="C237" s="143" t="s">
        <v>329</v>
      </c>
      <c r="D237" s="142" t="s">
        <v>452</v>
      </c>
      <c r="E237" s="317" t="str">
        <f>IFERROR(IF(TABELAS_RESUMO!C7="","",TABELAS_RESUMO!C7),"")</f>
        <v/>
      </c>
    </row>
    <row r="238" spans="1:5" x14ac:dyDescent="0.25">
      <c r="A238" s="297" t="s">
        <v>453</v>
      </c>
      <c r="B238" s="143">
        <v>31</v>
      </c>
      <c r="C238" s="143" t="s">
        <v>329</v>
      </c>
      <c r="D238" s="142" t="s">
        <v>454</v>
      </c>
      <c r="E238" s="317" t="str">
        <f>IFERROR(IF(TABELAS_RESUMO!D2="","",TABELAS_RESUMO!D2),"")</f>
        <v/>
      </c>
    </row>
    <row r="239" spans="1:5" x14ac:dyDescent="0.25">
      <c r="A239" s="297" t="s">
        <v>455</v>
      </c>
      <c r="B239" s="143">
        <v>31</v>
      </c>
      <c r="C239" s="143" t="s">
        <v>329</v>
      </c>
      <c r="D239" s="142" t="s">
        <v>456</v>
      </c>
      <c r="E239" s="317" t="str">
        <f>IFERROR(IF(TABELAS_RESUMO!D3="","",TABELAS_RESUMO!D3),"")</f>
        <v/>
      </c>
    </row>
    <row r="240" spans="1:5" x14ac:dyDescent="0.25">
      <c r="A240" s="297" t="s">
        <v>457</v>
      </c>
      <c r="B240" s="143">
        <v>31</v>
      </c>
      <c r="C240" s="143" t="s">
        <v>329</v>
      </c>
      <c r="D240" s="142" t="s">
        <v>458</v>
      </c>
      <c r="E240" s="317" t="str">
        <f>IFERROR(IF(TABELAS_RESUMO!D4="","",TABELAS_RESUMO!D4),"")</f>
        <v/>
      </c>
    </row>
    <row r="241" spans="1:5" x14ac:dyDescent="0.25">
      <c r="A241" s="297" t="s">
        <v>459</v>
      </c>
      <c r="B241" s="143">
        <v>31</v>
      </c>
      <c r="C241" s="143" t="s">
        <v>329</v>
      </c>
      <c r="D241" s="142" t="s">
        <v>460</v>
      </c>
      <c r="E241" s="317" t="str">
        <f>IFERROR(IF(TABELAS_RESUMO!D5="","",TABELAS_RESUMO!D5),"")</f>
        <v/>
      </c>
    </row>
    <row r="242" spans="1:5" x14ac:dyDescent="0.25">
      <c r="A242" s="297" t="s">
        <v>461</v>
      </c>
      <c r="B242" s="143">
        <v>31</v>
      </c>
      <c r="C242" s="143" t="s">
        <v>329</v>
      </c>
      <c r="D242" s="142" t="s">
        <v>462</v>
      </c>
      <c r="E242" s="317" t="str">
        <f>IFERROR(IF(TABELAS_RESUMO!D6="","",TABELAS_RESUMO!D6),"")</f>
        <v/>
      </c>
    </row>
    <row r="243" spans="1:5" x14ac:dyDescent="0.25">
      <c r="A243" s="297" t="s">
        <v>463</v>
      </c>
      <c r="B243" s="143">
        <v>31</v>
      </c>
      <c r="C243" s="143" t="s">
        <v>329</v>
      </c>
      <c r="D243" s="142" t="s">
        <v>464</v>
      </c>
      <c r="E243" s="317" t="str">
        <f>IFERROR(IF(TABELAS_RESUMO!D7="","",TABELAS_RESUMO!D7),"")</f>
        <v/>
      </c>
    </row>
    <row r="244" spans="1:5" x14ac:dyDescent="0.25">
      <c r="A244" s="297" t="s">
        <v>465</v>
      </c>
      <c r="B244" s="143">
        <v>31</v>
      </c>
      <c r="C244" s="143" t="s">
        <v>329</v>
      </c>
      <c r="D244" s="142" t="s">
        <v>466</v>
      </c>
      <c r="E244" s="317" t="str">
        <f>IFERROR(IF(TABELAS_RESUMO!E2="","",TABELAS_RESUMO!E2),"")</f>
        <v/>
      </c>
    </row>
    <row r="245" spans="1:5" x14ac:dyDescent="0.25">
      <c r="A245" s="297" t="s">
        <v>467</v>
      </c>
      <c r="B245" s="143">
        <v>31</v>
      </c>
      <c r="C245" s="143" t="s">
        <v>329</v>
      </c>
      <c r="D245" s="142" t="s">
        <v>468</v>
      </c>
      <c r="E245" s="317" t="str">
        <f>IFERROR(IF(TABELAS_RESUMO!E3="","",TABELAS_RESUMO!E3),"")</f>
        <v/>
      </c>
    </row>
    <row r="246" spans="1:5" x14ac:dyDescent="0.25">
      <c r="A246" s="297" t="s">
        <v>469</v>
      </c>
      <c r="B246" s="143">
        <v>31</v>
      </c>
      <c r="C246" s="143" t="s">
        <v>329</v>
      </c>
      <c r="D246" s="142" t="s">
        <v>470</v>
      </c>
      <c r="E246" s="317" t="str">
        <f>IFERROR(IF(TABELAS_RESUMO!E4="","",TABELAS_RESUMO!E4),"")</f>
        <v/>
      </c>
    </row>
    <row r="247" spans="1:5" x14ac:dyDescent="0.25">
      <c r="A247" s="297" t="s">
        <v>471</v>
      </c>
      <c r="B247" s="143">
        <v>31</v>
      </c>
      <c r="C247" s="143" t="s">
        <v>329</v>
      </c>
      <c r="D247" s="142" t="s">
        <v>472</v>
      </c>
      <c r="E247" s="317" t="str">
        <f>IFERROR(IF(TABELAS_RESUMO!E5="","",TABELAS_RESUMO!E5),"")</f>
        <v/>
      </c>
    </row>
    <row r="248" spans="1:5" x14ac:dyDescent="0.25">
      <c r="A248" s="297" t="s">
        <v>473</v>
      </c>
      <c r="B248" s="143">
        <v>31</v>
      </c>
      <c r="C248" s="143" t="s">
        <v>329</v>
      </c>
      <c r="D248" s="142" t="s">
        <v>474</v>
      </c>
      <c r="E248" s="317" t="str">
        <f>IFERROR(IF(TABELAS_RESUMO!E6="","",TABELAS_RESUMO!E6),"")</f>
        <v/>
      </c>
    </row>
    <row r="249" spans="1:5" x14ac:dyDescent="0.25">
      <c r="A249" s="297" t="s">
        <v>475</v>
      </c>
      <c r="B249" s="143">
        <v>31</v>
      </c>
      <c r="C249" s="143" t="s">
        <v>329</v>
      </c>
      <c r="D249" s="142" t="s">
        <v>476</v>
      </c>
      <c r="E249" s="317" t="str">
        <f>IFERROR(IF(TABELAS_RESUMO!E7="","",TABELAS_RESUMO!E7),"")</f>
        <v/>
      </c>
    </row>
    <row r="250" spans="1:5" x14ac:dyDescent="0.25">
      <c r="A250" s="297" t="s">
        <v>477</v>
      </c>
      <c r="B250" s="143">
        <v>31</v>
      </c>
      <c r="C250" s="143" t="s">
        <v>329</v>
      </c>
      <c r="D250" s="142" t="s">
        <v>478</v>
      </c>
      <c r="E250" s="317" t="str">
        <f>IFERROR(IF(TABELAS_RESUMO!F2="","",TABELAS_RESUMO!F2),"")</f>
        <v/>
      </c>
    </row>
    <row r="251" spans="1:5" x14ac:dyDescent="0.25">
      <c r="A251" s="297" t="s">
        <v>479</v>
      </c>
      <c r="B251" s="143">
        <v>31</v>
      </c>
      <c r="C251" s="143" t="s">
        <v>329</v>
      </c>
      <c r="D251" s="142" t="s">
        <v>480</v>
      </c>
      <c r="E251" s="317" t="str">
        <f>IFERROR(IF(TABELAS_RESUMO!F3="","",TABELAS_RESUMO!F3),"")</f>
        <v/>
      </c>
    </row>
    <row r="252" spans="1:5" x14ac:dyDescent="0.25">
      <c r="A252" s="297" t="s">
        <v>481</v>
      </c>
      <c r="B252" s="143">
        <v>31</v>
      </c>
      <c r="C252" s="143" t="s">
        <v>329</v>
      </c>
      <c r="D252" s="142" t="s">
        <v>482</v>
      </c>
      <c r="E252" s="317" t="str">
        <f>IFERROR(IF(TABELAS_RESUMO!F4="","",TABELAS_RESUMO!F4),"")</f>
        <v/>
      </c>
    </row>
    <row r="253" spans="1:5" x14ac:dyDescent="0.25">
      <c r="A253" s="297" t="s">
        <v>483</v>
      </c>
      <c r="B253" s="143">
        <v>31</v>
      </c>
      <c r="C253" s="143" t="s">
        <v>329</v>
      </c>
      <c r="D253" s="142" t="s">
        <v>484</v>
      </c>
      <c r="E253" s="317" t="str">
        <f>IFERROR(IF(TABELAS_RESUMO!F5="","",TABELAS_RESUMO!F5),"")</f>
        <v/>
      </c>
    </row>
    <row r="254" spans="1:5" x14ac:dyDescent="0.25">
      <c r="A254" s="297" t="s">
        <v>485</v>
      </c>
      <c r="B254" s="143">
        <v>31</v>
      </c>
      <c r="C254" s="143" t="s">
        <v>329</v>
      </c>
      <c r="D254" s="142" t="s">
        <v>486</v>
      </c>
      <c r="E254" s="317" t="str">
        <f>IFERROR(IF(TABELAS_RESUMO!F6="","",TABELAS_RESUMO!F6),"")</f>
        <v/>
      </c>
    </row>
    <row r="255" spans="1:5" x14ac:dyDescent="0.25">
      <c r="A255" s="297" t="s">
        <v>487</v>
      </c>
      <c r="B255" s="143">
        <v>31</v>
      </c>
      <c r="C255" s="143" t="s">
        <v>329</v>
      </c>
      <c r="D255" s="142" t="s">
        <v>488</v>
      </c>
      <c r="E255" s="317" t="str">
        <f>IFERROR(IF(TABELAS_RESUMO!F7="","",TABELAS_RESUMO!F7),"")</f>
        <v/>
      </c>
    </row>
    <row r="256" spans="1:5" x14ac:dyDescent="0.25">
      <c r="A256" t="s">
        <v>489</v>
      </c>
      <c r="B256" s="143">
        <v>9</v>
      </c>
      <c r="C256" s="143" t="s">
        <v>30</v>
      </c>
      <c r="D256" s="142" t="s">
        <v>490</v>
      </c>
      <c r="E256" s="316" t="str">
        <f>IFERROR(IF(UC_DADOS!B39="","",UC_DADOS!B39),"")</f>
        <v>Todas as faturas disponíveis no histórico de análise dos últimos 12 meses.</v>
      </c>
    </row>
  </sheetData>
  <mergeCells count="5">
    <mergeCell ref="F102:F113"/>
    <mergeCell ref="F151:F162"/>
    <mergeCell ref="F47:F52"/>
    <mergeCell ref="F77:F100"/>
    <mergeCell ref="F115:F142"/>
  </mergeCells>
  <phoneticPr fontId="56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="85" zoomScaleNormal="85" workbookViewId="0">
      <selection activeCell="A12" sqref="A12"/>
    </sheetView>
  </sheetViews>
  <sheetFormatPr defaultColWidth="8.5703125" defaultRowHeight="15" x14ac:dyDescent="0.25"/>
  <cols>
    <col min="1" max="1" width="53.7109375" bestFit="1" customWidth="1"/>
    <col min="2" max="2" width="89.28515625" bestFit="1" customWidth="1"/>
    <col min="3" max="3" width="20.85546875" customWidth="1"/>
    <col min="4" max="4" width="13.140625" customWidth="1"/>
    <col min="5" max="5" width="28.5703125" customWidth="1"/>
    <col min="6" max="6" width="35.28515625" customWidth="1"/>
    <col min="7" max="7" width="26.5703125" customWidth="1"/>
    <col min="8" max="8" width="27.28515625" customWidth="1"/>
    <col min="9" max="9" width="33.85546875" customWidth="1"/>
    <col min="10" max="10" width="24.85546875" bestFit="1" customWidth="1"/>
  </cols>
  <sheetData>
    <row r="1" spans="1:2" ht="17.25" customHeight="1" x14ac:dyDescent="0.3">
      <c r="A1" s="1" t="s">
        <v>15</v>
      </c>
      <c r="B1" s="284" t="e">
        <f>_xlfn.XLOOKUP(MAX(FATURAS!M:M), FATURAS!M:M, FATURAS!F:F,,-1)</f>
        <v>#N/A</v>
      </c>
    </row>
    <row r="2" spans="1:2" ht="17.25" customHeight="1" x14ac:dyDescent="0.3">
      <c r="A2" s="5" t="s">
        <v>17</v>
      </c>
      <c r="B2" s="291" t="e">
        <f>_xlfn.XLOOKUP(MAX(FATURAS!M:M), FATURAS!M:M, FATURAS!AA:AA,,-1)</f>
        <v>#N/A</v>
      </c>
    </row>
    <row r="3" spans="1:2" ht="17.25" customHeight="1" x14ac:dyDescent="0.3">
      <c r="A3" s="5" t="s">
        <v>19</v>
      </c>
      <c r="B3" s="291"/>
    </row>
    <row r="4" spans="1:2" ht="17.25" customHeight="1" x14ac:dyDescent="0.3">
      <c r="A4" s="5" t="s">
        <v>21</v>
      </c>
      <c r="B4" s="288"/>
    </row>
    <row r="5" spans="1:2" ht="17.25" customHeight="1" x14ac:dyDescent="0.3">
      <c r="A5" s="5" t="s">
        <v>491</v>
      </c>
      <c r="B5" s="289"/>
    </row>
    <row r="6" spans="1:2" ht="17.25" customHeight="1" x14ac:dyDescent="0.3">
      <c r="A6" s="5" t="s">
        <v>23</v>
      </c>
      <c r="B6" s="290"/>
    </row>
    <row r="7" spans="1:2" ht="17.25" customHeight="1" x14ac:dyDescent="0.3">
      <c r="A7" s="5" t="s">
        <v>492</v>
      </c>
      <c r="B7" s="285"/>
    </row>
    <row r="8" spans="1:2" ht="17.25" customHeight="1" thickBot="1" x14ac:dyDescent="0.35">
      <c r="A8" s="8" t="s">
        <v>11</v>
      </c>
      <c r="B8" s="286"/>
    </row>
    <row r="9" spans="1:2" ht="15" customHeight="1" thickBot="1" x14ac:dyDescent="0.35">
      <c r="A9" s="8" t="s">
        <v>493</v>
      </c>
      <c r="B9" s="287"/>
    </row>
    <row r="10" spans="1:2" ht="17.25" customHeight="1" x14ac:dyDescent="0.3">
      <c r="A10" s="9"/>
      <c r="B10" s="10"/>
    </row>
    <row r="11" spans="1:2" ht="17.25" customHeight="1" thickBot="1" x14ac:dyDescent="0.35">
      <c r="A11" s="9"/>
      <c r="B11" s="10"/>
    </row>
    <row r="12" spans="1:2" ht="17.25" customHeight="1" x14ac:dyDescent="0.3">
      <c r="A12" s="5" t="s">
        <v>494</v>
      </c>
      <c r="B12" s="11"/>
    </row>
    <row r="13" spans="1:2" ht="17.25" customHeight="1" x14ac:dyDescent="0.3">
      <c r="A13" s="5" t="s">
        <v>495</v>
      </c>
      <c r="B13" s="12" t="e">
        <f>AVERAGE(FATURAS!AF:AF)</f>
        <v>#DIV/0!</v>
      </c>
    </row>
    <row r="14" spans="1:2" ht="17.25" customHeight="1" thickBot="1" x14ac:dyDescent="0.35">
      <c r="A14" s="5" t="s">
        <v>114</v>
      </c>
      <c r="B14" s="13" t="e">
        <f>(B13/B12)</f>
        <v>#DIV/0!</v>
      </c>
    </row>
    <row r="15" spans="1:2" ht="15" customHeight="1" thickBot="1" x14ac:dyDescent="0.35">
      <c r="A15" s="5" t="s">
        <v>496</v>
      </c>
      <c r="B15" s="13" t="str">
        <f>IF(A12="Alunos","4 a 8 kWh/Alunos/mês",IF(A12="Pacientes","10 a 18 kWh/Pacientes/mês",IF(A12="Leitos","250 a 400 kWh/Leito/mês",IF(A12="Funcionários","8 a 12 kWh/Funcionários/mês",IF(A12="Visitantes","3 a 7 kWh/Visitantes/mês","")))))</f>
        <v>4 a 8 kWh/Alunos/mês</v>
      </c>
    </row>
    <row r="16" spans="1:2" ht="17.25" customHeight="1" thickBot="1" x14ac:dyDescent="0.35">
      <c r="A16" s="5" t="s">
        <v>497</v>
      </c>
      <c r="B16" s="13" t="str">
        <f>IF(A12="Alunos","Escola pública (fundamental)",IF(A12="Pacientes","Unidade básica de saúde",IF(A12="Leitos","Hospital de médio porte",IF(A12="Funcionários","Prédio administrativo",IF(A12="Visitantes","Unidade esportiva / ginásio","")))))</f>
        <v>Escola pública (fundamental)</v>
      </c>
    </row>
    <row r="17" spans="1:2" ht="17.25" customHeight="1" x14ac:dyDescent="0.25"/>
    <row r="18" spans="1:2" ht="17.25" customHeight="1" x14ac:dyDescent="0.3">
      <c r="A18" s="5" t="s">
        <v>83</v>
      </c>
      <c r="B18" s="280" t="e">
        <f>_xlfn.TEXTBEFORE(_xlfn.XLOOKUP(MAX(FATURAS!M:M),FATURAS!M:M,FATURAS!Y:Y,,-1)," ",3)</f>
        <v>#N/A</v>
      </c>
    </row>
    <row r="19" spans="1:2" ht="17.25" customHeight="1" x14ac:dyDescent="0.3">
      <c r="A19" s="5" t="s">
        <v>85</v>
      </c>
      <c r="B19" s="280" t="e">
        <f>IF(ISNUMBER(_xlfn.XLOOKUP(MAX(FATURAS!M:M),FATURAS!M:M,FATURAS!U:U,,-1)),_xlfn.XLOOKUP(MAX(FATURAS!M:M),FATURAS!M:M,FATURAS!U:U,,-1),_xlfn.XLOOKUP(MAX(FATURAS!M:M),FATURAS!M:M,FATURAS!V:V,,-1)&amp;" NP e "&amp;_xlfn.XLOOKUP(MAX(FATURAS!M:M),FATURAS!M:M,FATURAS!W:W,,-1)&amp;" FP")</f>
        <v>#N/A</v>
      </c>
    </row>
    <row r="20" spans="1:2" ht="17.25" customHeight="1" x14ac:dyDescent="0.3">
      <c r="A20" s="5" t="s">
        <v>87</v>
      </c>
      <c r="B20" s="280" t="e">
        <f>_xlfn.XLOOKUP(MAX(FATURAS!M:M),FATURAS!M:M,FATURAS!AB:AB)</f>
        <v>#N/A</v>
      </c>
    </row>
    <row r="21" spans="1:2" ht="17.25" customHeight="1" x14ac:dyDescent="0.3">
      <c r="A21" s="5" t="s">
        <v>89</v>
      </c>
      <c r="B21" s="280" t="e">
        <f>B2</f>
        <v>#N/A</v>
      </c>
    </row>
    <row r="22" spans="1:2" ht="17.25" customHeight="1" x14ac:dyDescent="0.3">
      <c r="A22" s="8" t="s">
        <v>90</v>
      </c>
      <c r="B22" s="281" t="e">
        <f>_xlfn.TEXTAFTER(_xlfn.XLOOKUP(MAX(FATURAS!M:M),FATURAS!M:M,FATURAS!Y:Y,,-1)," ",3)</f>
        <v>#N/A</v>
      </c>
    </row>
    <row r="28" spans="1:2" ht="19.5" customHeight="1" thickBot="1" x14ac:dyDescent="0.35">
      <c r="A28" s="8" t="s">
        <v>498</v>
      </c>
      <c r="B28" s="15" t="s">
        <v>499</v>
      </c>
    </row>
    <row r="29" spans="1:2" ht="19.5" customHeight="1" thickBot="1" x14ac:dyDescent="0.35">
      <c r="A29" s="8" t="s">
        <v>500</v>
      </c>
      <c r="B29" s="264" t="str">
        <f>IF(LEFT(FATURAS!X2,1)="A","Grupo A",IF(LEFT(FATURAS!X2,1)="B","Grupo B",""))</f>
        <v/>
      </c>
    </row>
    <row r="31" spans="1:2" ht="15.75" thickBot="1" x14ac:dyDescent="0.3"/>
    <row r="32" spans="1:2" ht="19.5" thickBot="1" x14ac:dyDescent="0.35">
      <c r="A32" s="263" t="s">
        <v>501</v>
      </c>
      <c r="B32" s="282">
        <f>SUMIF(FATURAS!M:M,MAX(FATURAS!M:M),FATURAS!E:E)</f>
        <v>0</v>
      </c>
    </row>
    <row r="33" spans="1:10" ht="19.5" thickBot="1" x14ac:dyDescent="0.35">
      <c r="A33" s="263" t="s">
        <v>502</v>
      </c>
      <c r="B33" s="282">
        <f>FATURAS!J2</f>
        <v>0</v>
      </c>
    </row>
    <row r="34" spans="1:10" ht="19.5" thickBot="1" x14ac:dyDescent="0.35">
      <c r="A34" s="263" t="s">
        <v>503</v>
      </c>
      <c r="B34" s="282">
        <f>MAX(G37:G48)</f>
        <v>0</v>
      </c>
    </row>
    <row r="35" spans="1:10" ht="15.75" customHeight="1" thickBot="1" x14ac:dyDescent="0.35">
      <c r="A35" s="263" t="s">
        <v>504</v>
      </c>
      <c r="B35" s="282" t="str">
        <f>INDEX(D37:D48,MATCH(MAX(G37:G48),G37:G48,0))</f>
        <v/>
      </c>
    </row>
    <row r="36" spans="1:10" ht="18.75" customHeight="1" thickBot="1" x14ac:dyDescent="0.35">
      <c r="A36" s="263" t="s">
        <v>505</v>
      </c>
      <c r="B36" s="282" t="str">
        <f>INDEX(D37:D48,MATCH(MIN(G37:G48),G37:G48,0))</f>
        <v/>
      </c>
      <c r="D36" s="331" t="s">
        <v>506</v>
      </c>
      <c r="E36" s="328" t="s">
        <v>507</v>
      </c>
      <c r="F36" s="3" t="s">
        <v>508</v>
      </c>
      <c r="G36" s="3" t="s">
        <v>509</v>
      </c>
      <c r="H36" s="3" t="s">
        <v>510</v>
      </c>
      <c r="I36" s="321" t="s">
        <v>511</v>
      </c>
      <c r="J36" s="4" t="s">
        <v>512</v>
      </c>
    </row>
    <row r="37" spans="1:10" ht="15.75" customHeight="1" thickBot="1" x14ac:dyDescent="0.35">
      <c r="A37" s="263" t="s">
        <v>513</v>
      </c>
      <c r="B37" s="282">
        <f ca="1">SUMIFS(FATURAS!E:E,FATURAS!M:M,"&gt;="&amp;DATE(YEAR(TODAY()),1,1),FATURAS!M:M,"&lt;="&amp;DATE(YEAR(TODAY()),12,31))</f>
        <v>0</v>
      </c>
      <c r="D37" s="332" t="str">
        <f>IFERROR(TEXT(SMALL(_xlfn.UNIQUE(FATURAS!M:M),1),"MMM/AA"),"")</f>
        <v/>
      </c>
      <c r="E37" s="329">
        <f>SUMIFS(FATURAS!AQ:AQ, FATURAS!M:M, SMALL(_xlfn.UNIQUE(FATURAS!M:M),1))</f>
        <v>0</v>
      </c>
      <c r="F37" s="7">
        <f>SUMIFS(FATURAS!AR:AR, FATURAS!M:M, SMALL(_xlfn.UNIQUE(FATURAS!M:M),1))</f>
        <v>0</v>
      </c>
      <c r="G37" s="7">
        <f t="shared" ref="G37:G48" si="0">SUM(E37+F37)</f>
        <v>0</v>
      </c>
      <c r="H37" s="7" t="e" cm="1">
        <f t="array" ref="H37">SUMPRODUCT(
(FATURAS!M2:M5000=SMALL(_xlfn.UNIQUE(FATURAS!M2:M5000),1))*
FATURAS!AU2:AU5000*
IF(ISNUMBER(FATURAS!BN2:BN5000),1+(FATURAS!BN2:BN5000/100),1))</f>
        <v>#NUM!</v>
      </c>
      <c r="I37" s="322" t="e" cm="1">
        <f t="array" ref="I37">SUMPRODUCT((FATURAS!M2:M5000=SMALL(_xlfn.UNIQUE(FATURAS!M2:M5000),1))*FATURAS!AV2:AV5000*IF(ISNUMBER(FATURAS!BN2:BN5000),1+(FATURAS!BN2:BN5000/100),1))</f>
        <v>#NUM!</v>
      </c>
      <c r="J37" s="346">
        <f>SUMIFS(FATURAS!E:E, FATURAS!M:M, SMALL(_xlfn.UNIQUE(FATURAS!M:M),1))</f>
        <v>0</v>
      </c>
    </row>
    <row r="38" spans="1:10" ht="15.75" customHeight="1" thickBot="1" x14ac:dyDescent="0.35">
      <c r="A38" s="263" t="s">
        <v>326</v>
      </c>
      <c r="B38" s="282" cm="1">
        <f t="array" ref="B38">IFERROR(SUMPRODUCT(IFERROR(FATURAS!AD2:AD13/(FATURAS!AV2:AV13*FATURAS!Q2:Q13*24),0))/SUMPRODUCT((FATURAS!AV2:AV13&lt;&gt;0)*(FATURAS!Q2:Q13&lt;&gt;0)),0)</f>
        <v>0</v>
      </c>
      <c r="D38" s="333" t="str">
        <f>IFERROR(TEXT(SMALL(_xlfn.UNIQUE(FATURAS!M:M),2),"MMM/AA"),"")</f>
        <v/>
      </c>
      <c r="E38" s="329">
        <f>SUMIFS(FATURAS!AQ:AQ, FATURAS!M:M, SMALL(_xlfn.UNIQUE(FATURAS!M:M),2))</f>
        <v>0</v>
      </c>
      <c r="F38" s="7">
        <f>SUMIFS(FATURAS!AR:AR, FATURAS!M:M, SMALL(_xlfn.UNIQUE(FATURAS!M:M),2))</f>
        <v>0</v>
      </c>
      <c r="G38" s="7">
        <f t="shared" si="0"/>
        <v>0</v>
      </c>
      <c r="H38" s="7" t="e" cm="1">
        <f t="array" ref="H38">SUMPRODUCT(
(FATURAS!M2:M5000=SMALL(_xlfn.UNIQUE(FATURAS!M2:M5000),2))*
FATURAS!AU2:AU5000*
IF(ISNUMBER(FATURAS!BN2:BN5000),1+(FATURAS!BN2:BN5000/100),1))</f>
        <v>#NUM!</v>
      </c>
      <c r="I38" s="322" t="e" cm="1">
        <f t="array" ref="I38">SUMPRODUCT((FATURAS!M2:M5000=SMALL(_xlfn.UNIQUE(FATURAS!M2:M5000),2))*FATURAS!AV2:AV5000*IF(ISNUMBER(FATURAS!BN2:BN5000),1+(FATURAS!BN2:BN5000/100),1))</f>
        <v>#NUM!</v>
      </c>
      <c r="J38" s="346">
        <f>SUMIFS(FATURAS!E:E, FATURAS!M:M, SMALL(_xlfn.UNIQUE(FATURAS!M:M),2))</f>
        <v>0</v>
      </c>
    </row>
    <row r="39" spans="1:10" ht="15.75" customHeight="1" thickBot="1" x14ac:dyDescent="0.35">
      <c r="A39" s="263" t="s">
        <v>514</v>
      </c>
      <c r="B39" s="282" t="s">
        <v>515</v>
      </c>
      <c r="D39" s="333" t="str">
        <f>IFERROR(TEXT(SMALL(_xlfn.UNIQUE(FATURAS!M:M),3),"MMM/AA"),"")</f>
        <v/>
      </c>
      <c r="E39" s="329">
        <f>SUMIFS(FATURAS!AQ:AQ, FATURAS!M:M, SMALL(_xlfn.UNIQUE(FATURAS!M:M),3))</f>
        <v>0</v>
      </c>
      <c r="F39" s="7">
        <f>SUMIFS(FATURAS!AR:AR, FATURAS!M:M, SMALL(_xlfn.UNIQUE(FATURAS!M:M),3))</f>
        <v>0</v>
      </c>
      <c r="G39" s="7">
        <f t="shared" si="0"/>
        <v>0</v>
      </c>
      <c r="H39" s="7" t="e" cm="1">
        <f t="array" ref="H39">SUMPRODUCT(
(FATURAS!M2:M5000=SMALL(_xlfn.UNIQUE(FATURAS!M2:M5000),3))*
FATURAS!AU2:AU5000*
IF(ISNUMBER(FATURAS!BN2:BN5000),1+(FATURAS!BN2:BN5000/100),1))</f>
        <v>#NUM!</v>
      </c>
      <c r="I39" s="322" t="e" cm="1">
        <f t="array" ref="I39">SUMPRODUCT((FATURAS!M2:M5000=SMALL(_xlfn.UNIQUE(FATURAS!M2:M5000),3))*FATURAS!AV2:AV5000*IF(ISNUMBER(FATURAS!BN2:BN5000),1+(FATURAS!BN2:BN5000/100),1))</f>
        <v>#NUM!</v>
      </c>
      <c r="J39" s="346">
        <f>SUMIFS(FATURAS!E:E, FATURAS!M:M, SMALL(_xlfn.UNIQUE(FATURAS!M:M),3))</f>
        <v>0</v>
      </c>
    </row>
    <row r="40" spans="1:10" ht="15.75" customHeight="1" thickBot="1" x14ac:dyDescent="0.35">
      <c r="A40" s="263" t="s">
        <v>516</v>
      </c>
      <c r="B40" s="371" t="e">
        <f ca="1">AVERAGEIFS(FATURAS!BL:BL,FATURAS!M:M,"&gt;="&amp;DATE(YEAR(TODAY()),1,1),FATURAS!M:M,"&lt;="&amp;DATE(YEAR(TODAY()),12,31))</f>
        <v>#DIV/0!</v>
      </c>
      <c r="D40" s="333" t="str">
        <f>IFERROR(TEXT(SMALL(_xlfn.UNIQUE(FATURAS!M:M),4),"MMM/AA"),"")</f>
        <v/>
      </c>
      <c r="E40" s="329">
        <f>SUMIFS(FATURAS!AQ:AQ, FATURAS!M:M, SMALL(_xlfn.UNIQUE(FATURAS!M:M),4))</f>
        <v>0</v>
      </c>
      <c r="F40" s="7">
        <f>SUMIFS(FATURAS!AR:AR, FATURAS!M:M, SMALL(_xlfn.UNIQUE(FATURAS!M:M),4))</f>
        <v>0</v>
      </c>
      <c r="G40" s="7">
        <f t="shared" si="0"/>
        <v>0</v>
      </c>
      <c r="H40" s="7" t="e" cm="1">
        <f t="array" ref="H40">SUMPRODUCT(
(FATURAS!M2:M5000=SMALL(_xlfn.UNIQUE(FATURAS!M2:M5000),4))*
FATURAS!AU2:AU5000*
IF(ISNUMBER(FATURAS!BN2:BN5000),1+(FATURAS!BN2:BN5000/100),1))</f>
        <v>#NUM!</v>
      </c>
      <c r="I40" s="322" t="e" cm="1">
        <f t="array" ref="I40">SUMPRODUCT((FATURAS!M2:M5000=SMALL(_xlfn.UNIQUE(FATURAS!M2:M5000),4))*FATURAS!AV2:AV5000*IF(ISNUMBER(FATURAS!BN2:BN5000),1+(FATURAS!BN2:BN5000/100),1))</f>
        <v>#NUM!</v>
      </c>
      <c r="J40" s="346">
        <f>SUMIFS(FATURAS!E:E, FATURAS!M:M, SMALL(_xlfn.UNIQUE(FATURAS!M:M),4))</f>
        <v>0</v>
      </c>
    </row>
    <row r="41" spans="1:10" ht="15.75" customHeight="1" thickBot="1" x14ac:dyDescent="0.35">
      <c r="A41" s="263" t="s">
        <v>517</v>
      </c>
      <c r="B41" s="371" t="e">
        <f ca="1">AVERAGEIFS(FATURAS!BM:BM,FATURAS!M:M,"&gt;="&amp;DATE(YEAR(TODAY()),1,1),FATURAS!M:M,"&lt;="&amp;DATE(YEAR(TODAY()),12,31))</f>
        <v>#DIV/0!</v>
      </c>
      <c r="D41" s="333" t="str">
        <f>IFERROR(TEXT(SMALL(_xlfn.UNIQUE(FATURAS!M:M),5),"MMM/AA"),"")</f>
        <v/>
      </c>
      <c r="E41" s="329">
        <f>SUMIFS(FATURAS!AQ:AQ, FATURAS!M:M, SMALL(_xlfn.UNIQUE(FATURAS!M:M),5))</f>
        <v>0</v>
      </c>
      <c r="F41" s="7">
        <f>SUMIFS(FATURAS!AR:AR, FATURAS!M:M, SMALL(_xlfn.UNIQUE(FATURAS!M:M),5))</f>
        <v>0</v>
      </c>
      <c r="G41" s="7">
        <f t="shared" si="0"/>
        <v>0</v>
      </c>
      <c r="H41" s="7" t="e" cm="1">
        <f t="array" ref="H41">SUMPRODUCT(
(FATURAS!M2:M5000=SMALL(_xlfn.UNIQUE(FATURAS!M2:M5000),5))*
FATURAS!AU2:AU5000*
IF(ISNUMBER(FATURAS!BN2:BN5000),1+(FATURAS!BN2:BN5000/100),1))</f>
        <v>#NUM!</v>
      </c>
      <c r="I41" s="322" t="e" cm="1">
        <f t="array" ref="I41">SUMPRODUCT((FATURAS!M2:M5000=SMALL(_xlfn.UNIQUE(FATURAS!M2:M5000),5))*FATURAS!AV2:AV5000*IF(ISNUMBER(FATURAS!BN2:BN5000),1+(FATURAS!BN2:BN5000/100),1))</f>
        <v>#NUM!</v>
      </c>
      <c r="J41" s="346">
        <f>SUMIFS(FATURAS!E:E, FATURAS!M:M, SMALL(_xlfn.UNIQUE(FATURAS!M:M),5))</f>
        <v>0</v>
      </c>
    </row>
    <row r="42" spans="1:10" ht="15.75" customHeight="1" thickBot="1" x14ac:dyDescent="0.35">
      <c r="A42" s="263" t="s">
        <v>518</v>
      </c>
      <c r="B42" s="371" t="e" cm="1">
        <f t="array" aca="1" ref="B42" ca="1">SUMPRODUCT((YEAR(FATURAS!M2:M13)=YEAR(TODAY()))*FATURAS!AD2:AD13)/SQRT(SUMPRODUCT((YEAR(FATURAS!M2:M13)=YEAR(TODAY()))*FATURAS!AD2:AD13)^2+SUMPRODUCT((YEAR(FATURAS!M2:M13)=YEAR(TODAY()))*FATURAS!BC2:BC13)^2)</f>
        <v>#DIV/0!</v>
      </c>
      <c r="D42" s="333" t="str">
        <f>IFERROR(TEXT(SMALL(_xlfn.UNIQUE(FATURAS!M:M),6),"MMM/AA"),"")</f>
        <v/>
      </c>
      <c r="E42" s="329">
        <f>SUMIFS(FATURAS!AQ:AQ, FATURAS!M:M, SMALL(_xlfn.UNIQUE(FATURAS!M:M),6))</f>
        <v>0</v>
      </c>
      <c r="F42" s="7">
        <f>SUMIFS(FATURAS!AR:AR, FATURAS!M:M, SMALL(_xlfn.UNIQUE(FATURAS!M:M),6))</f>
        <v>0</v>
      </c>
      <c r="G42" s="7">
        <f t="shared" si="0"/>
        <v>0</v>
      </c>
      <c r="H42" s="7" t="e" cm="1">
        <f t="array" ref="H42">SUMPRODUCT(
(FATURAS!M2:M5000=SMALL(_xlfn.UNIQUE(FATURAS!M2:M5000),6))*
FATURAS!AU2:AU5000*
IF(ISNUMBER(FATURAS!BN2:BN5000),1+(FATURAS!BN2:BN5000/100),1))</f>
        <v>#NUM!</v>
      </c>
      <c r="I42" s="322" t="e" cm="1">
        <f t="array" ref="I42">SUMPRODUCT((FATURAS!M2:M5000=SMALL(_xlfn.UNIQUE(FATURAS!M2:M5000),6))*FATURAS!AV2:AV5000*IF(ISNUMBER(FATURAS!BN2:BN5000),1+(FATURAS!BN2:BN5000/100),1))</f>
        <v>#NUM!</v>
      </c>
      <c r="J42" s="346">
        <f>SUMIFS(FATURAS!E:E, FATURAS!M:M, SMALL(_xlfn.UNIQUE(FATURAS!M:M),6))</f>
        <v>0</v>
      </c>
    </row>
    <row r="43" spans="1:10" ht="15.75" customHeight="1" thickBot="1" x14ac:dyDescent="0.35">
      <c r="A43" s="263" t="s">
        <v>519</v>
      </c>
      <c r="B43" s="377" t="e" cm="1">
        <f t="array" aca="1" ref="B43" ca="1">SUMPRODUCT((YEAR(FATURAS!M2:M13)=YEAR(TODAY()))*FATURAS!AF2:AF13)/SUMPRODUCT((YEAR(FATURAS!M2:M13)=YEAR(TODAY()))*FATURAS!E2:E13)</f>
        <v>#DIV/0!</v>
      </c>
      <c r="D43" s="333" t="str">
        <f>IFERROR(TEXT(SMALL(_xlfn.UNIQUE(FATURAS!M:M),7),"MMM/AA"),"")</f>
        <v/>
      </c>
      <c r="E43" s="329">
        <f>SUMIFS(FATURAS!AQ:AQ, FATURAS!M:M, SMALL(_xlfn.UNIQUE(FATURAS!M:M),7))</f>
        <v>0</v>
      </c>
      <c r="F43" s="7">
        <f>SUMIFS(FATURAS!AR:AR, FATURAS!M:M, SMALL(_xlfn.UNIQUE(FATURAS!M:M),7))</f>
        <v>0</v>
      </c>
      <c r="G43" s="7">
        <f t="shared" si="0"/>
        <v>0</v>
      </c>
      <c r="H43" s="7" t="e" cm="1">
        <f t="array" ref="H43">SUMPRODUCT(
(FATURAS!M2:M5000=SMALL(_xlfn.UNIQUE(FATURAS!M2:M5000),7))*
FATURAS!AU2:AU5000*
IF(ISNUMBER(FATURAS!BN2:BN5000),1+(FATURAS!BN2:BN5000/100),1))</f>
        <v>#NUM!</v>
      </c>
      <c r="I43" s="322" t="e" cm="1">
        <f t="array" ref="I43">SUMPRODUCT((FATURAS!M2:M5000=SMALL(_xlfn.UNIQUE(FATURAS!M2:M5000),7))*FATURAS!AV2:AV5000*IF(ISNUMBER(FATURAS!BN2:BN5000),1+(FATURAS!BN2:BN5000/100),1))</f>
        <v>#NUM!</v>
      </c>
      <c r="J43" s="346">
        <f>SUMIFS(FATURAS!E:E, FATURAS!M:M, SMALL(_xlfn.UNIQUE(FATURAS!M:M),7))</f>
        <v>0</v>
      </c>
    </row>
    <row r="44" spans="1:10" ht="15.75" customHeight="1" thickBot="1" x14ac:dyDescent="0.35">
      <c r="A44" s="263" t="str">
        <f>"Consumo por " &amp; A12 &amp; " (kWh/mês)"</f>
        <v>Consumo por Alunos (kWh/mês)</v>
      </c>
      <c r="B44" s="378" t="e" cm="1">
        <f t="array" aca="1" ref="B44" ca="1">SUMPRODUCT((YEAR(FATURAS!M2:M13)=YEAR(TODAY()))*FATURAS!AD2:AD13)/(12*B12)</f>
        <v>#DIV/0!</v>
      </c>
      <c r="D44" s="333" t="str">
        <f>IFERROR(TEXT(SMALL(_xlfn.UNIQUE(FATURAS!M:M),8),"MMM/AA"),"")</f>
        <v/>
      </c>
      <c r="E44" s="329">
        <f>SUMIFS(FATURAS!AQ:AQ, FATURAS!M:M, SMALL(_xlfn.UNIQUE(FATURAS!M:M),8))</f>
        <v>0</v>
      </c>
      <c r="F44" s="7">
        <f>SUMIFS(FATURAS!AR:AR, FATURAS!M:M, SMALL(_xlfn.UNIQUE(FATURAS!M:M),8))</f>
        <v>0</v>
      </c>
      <c r="G44" s="7">
        <f t="shared" si="0"/>
        <v>0</v>
      </c>
      <c r="H44" s="7" t="e" cm="1">
        <f t="array" ref="H44">SUMPRODUCT(
(FATURAS!M2:M5000=SMALL(_xlfn.UNIQUE(FATURAS!M2:M5000),8))*
FATURAS!AU2:AU5000*
IF(ISNUMBER(FATURAS!BN2:BN5000),1+(FATURAS!BN2:BN5000/100),1))</f>
        <v>#NUM!</v>
      </c>
      <c r="I44" s="322" t="e" cm="1">
        <f t="array" ref="I44">SUMPRODUCT((FATURAS!M2:M5000=SMALL(_xlfn.UNIQUE(FATURAS!M2:M5000),8))*FATURAS!AV2:AV5000*IF(ISNUMBER(FATURAS!BN2:BN5000),1+(FATURAS!BN2:BN5000/100),1))</f>
        <v>#NUM!</v>
      </c>
      <c r="J44" s="346">
        <f>SUMIFS(FATURAS!E:E, FATURAS!M:M, SMALL(_xlfn.UNIQUE(FATURAS!M:M),8))</f>
        <v>0</v>
      </c>
    </row>
    <row r="45" spans="1:10" ht="15.75" customHeight="1" x14ac:dyDescent="0.25">
      <c r="D45" s="333" t="str">
        <f>IFERROR(TEXT(SMALL(_xlfn.UNIQUE(FATURAS!M:M),9),"MMM/AA"),"")</f>
        <v/>
      </c>
      <c r="E45" s="329">
        <f>SUMIFS(FATURAS!AQ:AQ, FATURAS!M:M, SMALL(_xlfn.UNIQUE(FATURAS!M:M),9))</f>
        <v>0</v>
      </c>
      <c r="F45" s="7">
        <f>SUMIFS(FATURAS!AR:AR, FATURAS!M:M, SMALL(_xlfn.UNIQUE(FATURAS!M:M),9))</f>
        <v>0</v>
      </c>
      <c r="G45" s="7">
        <f t="shared" si="0"/>
        <v>0</v>
      </c>
      <c r="H45" s="7" t="e" cm="1">
        <f t="array" ref="H45">SUMPRODUCT(
(FATURAS!M2:M5000=SMALL(_xlfn.UNIQUE(FATURAS!M2:M5000),9))*
FATURAS!AU2:AU5000*
IF(ISNUMBER(FATURAS!BN2:BN5000),1+(FATURAS!BN2:BN5000/100),1))</f>
        <v>#NUM!</v>
      </c>
      <c r="I45" s="322" t="e" cm="1">
        <f t="array" ref="I45">SUMPRODUCT((FATURAS!M2:M5000=SMALL(_xlfn.UNIQUE(FATURAS!M2:M5000),9))*FATURAS!AV2:AV5000*IF(ISNUMBER(FATURAS!BN2:BN5000),1+(FATURAS!BN2:BN5000/100),1))</f>
        <v>#NUM!</v>
      </c>
      <c r="J45" s="346">
        <f>SUMIFS(FATURAS!E:E, FATURAS!M:M, SMALL(_xlfn.UNIQUE(FATURAS!M:M),9))</f>
        <v>0</v>
      </c>
    </row>
    <row r="46" spans="1:10" ht="15.75" customHeight="1" x14ac:dyDescent="0.25">
      <c r="D46" s="333" t="str">
        <f>IFERROR(TEXT(SMALL(_xlfn.UNIQUE(FATURAS!M:M),10),"MMM/AA"),"")</f>
        <v/>
      </c>
      <c r="E46" s="329">
        <f>SUMIFS(FATURAS!AQ:AQ, FATURAS!M:M, SMALL(_xlfn.UNIQUE(FATURAS!M:M),10))</f>
        <v>0</v>
      </c>
      <c r="F46" s="7">
        <f>SUMIFS(FATURAS!AR:AR, FATURAS!M:M, SMALL(_xlfn.UNIQUE(FATURAS!M:M),10))</f>
        <v>0</v>
      </c>
      <c r="G46" s="7">
        <f t="shared" si="0"/>
        <v>0</v>
      </c>
      <c r="H46" s="7" t="e" cm="1">
        <f t="array" ref="H46">SUMPRODUCT(
(FATURAS!M2:M5000=SMALL(_xlfn.UNIQUE(FATURAS!M2:M5000),10))*
FATURAS!AU2:AU5000*
IF(ISNUMBER(FATURAS!BN2:BN5000),1+(FATURAS!BN2:BN5000/100),1))</f>
        <v>#NUM!</v>
      </c>
      <c r="I46" s="322" t="e" cm="1">
        <f t="array" ref="I46">SUMPRODUCT((FATURAS!M2:M5000=SMALL(_xlfn.UNIQUE(FATURAS!M2:M5000),10))*FATURAS!AV2:AV5000*IF(ISNUMBER(FATURAS!BN2:BN5000),1+(FATURAS!BN2:BN5000/100),1))</f>
        <v>#NUM!</v>
      </c>
      <c r="J46" s="346">
        <f>SUMIFS(FATURAS!E:E, FATURAS!M:M, SMALL(_xlfn.UNIQUE(FATURAS!M:M),10))</f>
        <v>0</v>
      </c>
    </row>
    <row r="47" spans="1:10" ht="15.75" customHeight="1" x14ac:dyDescent="0.25">
      <c r="D47" s="333" t="str">
        <f>IFERROR(TEXT(SMALL(_xlfn.UNIQUE(FATURAS!M:M),11),"MMM/AA"),"")</f>
        <v/>
      </c>
      <c r="E47" s="329">
        <f>SUMIFS(FATURAS!AQ:AQ, FATURAS!M:M, SMALL(_xlfn.UNIQUE(FATURAS!M:M),11))</f>
        <v>0</v>
      </c>
      <c r="F47" s="7">
        <f>SUMIFS(FATURAS!AR:AR, FATURAS!M:M, SMALL(_xlfn.UNIQUE(FATURAS!M:M),11))</f>
        <v>0</v>
      </c>
      <c r="G47" s="7">
        <f t="shared" si="0"/>
        <v>0</v>
      </c>
      <c r="H47" s="7" t="e" cm="1">
        <f t="array" ref="H47">SUMPRODUCT(
(FATURAS!M2:M5000=SMALL(_xlfn.UNIQUE(FATURAS!M2:M5000),11))*
FATURAS!AU2:AU5000*
IF(ISNUMBER(FATURAS!BN2:BN5000),1+(FATURAS!BN2:BN5000/100),1))</f>
        <v>#NUM!</v>
      </c>
      <c r="I47" s="322" t="e" cm="1">
        <f t="array" ref="I47">SUMPRODUCT((FATURAS!M2:M5000=SMALL(_xlfn.UNIQUE(FATURAS!M2:M5000),11))*FATURAS!AV2:AV5000*IF(ISNUMBER(FATURAS!BN2:BN5000),1+(FATURAS!BN2:BN5000/100),1))</f>
        <v>#NUM!</v>
      </c>
      <c r="J47" s="346">
        <f>SUMIFS(FATURAS!E:E, FATURAS!M:M, SMALL(_xlfn.UNIQUE(FATURAS!M:M),11))</f>
        <v>0</v>
      </c>
    </row>
    <row r="48" spans="1:10" ht="16.5" customHeight="1" thickBot="1" x14ac:dyDescent="0.3">
      <c r="D48" s="347" t="str">
        <f>IFERROR(TEXT(SMALL(_xlfn.UNIQUE(FATURAS!M:M),12),"MMM/AA"),"")</f>
        <v/>
      </c>
      <c r="E48" s="330">
        <f>SUMIFS(FATURAS!AQ:AQ, FATURAS!M:M, SMALL(_xlfn.UNIQUE(FATURAS!M:M),12))</f>
        <v>0</v>
      </c>
      <c r="F48" s="190">
        <f>SUMIFS(FATURAS!AR:AR, FATURAS!M:M, SMALL(_xlfn.UNIQUE(FATURAS!M:M),12))</f>
        <v>0</v>
      </c>
      <c r="G48" s="190">
        <f t="shared" si="0"/>
        <v>0</v>
      </c>
      <c r="H48" s="190" t="e" cm="1">
        <f t="array" ref="H48">SUMPRODUCT(
(FATURAS!M2:M5000=SMALL(_xlfn.UNIQUE(FATURAS!M2:M5000),12))*
FATURAS!AU2:AU5000*
IF(ISNUMBER(FATURAS!BN2:BN5000),1+(FATURAS!BN2:BN5000/100),1))</f>
        <v>#NUM!</v>
      </c>
      <c r="I48" s="323" t="e" cm="1">
        <f t="array" ref="I48">SUMPRODUCT((FATURAS!M2:M5000=SMALL(_xlfn.UNIQUE(FATURAS!M2:M5000),12))*FATURAS!AV2:AV5000*IF(ISNUMBER(FATURAS!BN2:BN5000),1+(FATURAS!BN2:BN5000/100),1))</f>
        <v>#NUM!</v>
      </c>
      <c r="J48" s="348">
        <f>SUMIFS(FATURAS!E:E, FATURAS!M:M, SMALL(_xlfn.UNIQUE(FATURAS!M:M),12))</f>
        <v>0</v>
      </c>
    </row>
    <row r="49" spans="4:10" ht="15.75" customHeight="1" thickBot="1" x14ac:dyDescent="0.3">
      <c r="D49" s="436" t="s">
        <v>520</v>
      </c>
      <c r="E49" s="326"/>
      <c r="F49" s="191"/>
      <c r="G49" s="192">
        <f>SUM(G37:G48)</f>
        <v>0</v>
      </c>
      <c r="H49" s="191"/>
      <c r="I49" s="324"/>
      <c r="J49" s="193"/>
    </row>
    <row r="50" spans="4:10" ht="16.5" customHeight="1" thickBot="1" x14ac:dyDescent="0.3">
      <c r="D50" s="437"/>
      <c r="E50" s="327"/>
      <c r="F50" s="194"/>
      <c r="G50" s="195">
        <f>G49/1000</f>
        <v>0</v>
      </c>
      <c r="H50" s="194"/>
      <c r="I50" s="325"/>
      <c r="J50" s="196"/>
    </row>
  </sheetData>
  <mergeCells count="1">
    <mergeCell ref="D49:D50"/>
  </mergeCells>
  <dataValidations count="2">
    <dataValidation type="list" allowBlank="1" showInputMessage="1" sqref="A12" xr:uid="{A3A853F6-2E14-4BFA-B6E4-9F7C4E3646D8}">
      <formula1>"Alunos, Pacientes, Funcionários,Visitantes,Leitos"</formula1>
    </dataValidation>
    <dataValidation type="list" allowBlank="1" showInputMessage="1" sqref="B39" xr:uid="{AE64433A-BED9-4DA1-896D-6801CD35828A}">
      <formula1>"Ausência de faturas no período dos últimos 12 meses analisados.,Todas as faturas disponíveis no histórico de análise dos últimos 12 meses."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B18"/>
  <sheetViews>
    <sheetView zoomScaleNormal="100" workbookViewId="0">
      <selection activeCell="E22" sqref="E22"/>
    </sheetView>
  </sheetViews>
  <sheetFormatPr defaultColWidth="9.140625" defaultRowHeight="15.75" x14ac:dyDescent="0.25"/>
  <cols>
    <col min="1" max="1" width="38.140625" style="24" bestFit="1" customWidth="1"/>
    <col min="2" max="2" width="17.5703125" style="24" bestFit="1" customWidth="1"/>
    <col min="3" max="3" width="13.140625" style="24" bestFit="1" customWidth="1"/>
    <col min="4" max="4" width="21.7109375" style="24" bestFit="1" customWidth="1"/>
    <col min="5" max="5" width="19.42578125" style="24" bestFit="1" customWidth="1"/>
    <col min="6" max="6" width="23.42578125" style="24" bestFit="1" customWidth="1"/>
    <col min="7" max="7" width="13.140625" style="24" bestFit="1" customWidth="1"/>
    <col min="8" max="8" width="15.140625" style="24" bestFit="1" customWidth="1"/>
    <col min="9" max="9" width="14.85546875" style="24" bestFit="1" customWidth="1"/>
    <col min="10" max="10" width="26.42578125" style="24" bestFit="1" customWidth="1"/>
    <col min="11" max="11" width="13.5703125" style="24" bestFit="1" customWidth="1"/>
    <col min="12" max="12" width="16.140625" style="24" bestFit="1" customWidth="1"/>
    <col min="13" max="13" width="17.85546875" style="24" bestFit="1" customWidth="1"/>
    <col min="14" max="14" width="21.42578125" style="24" bestFit="1" customWidth="1"/>
    <col min="15" max="15" width="18.5703125" style="24" bestFit="1" customWidth="1"/>
    <col min="16" max="16" width="19.7109375" style="24" bestFit="1" customWidth="1"/>
    <col min="17" max="17" width="12.5703125" style="24" bestFit="1" customWidth="1"/>
    <col min="18" max="18" width="17.28515625" style="24" bestFit="1" customWidth="1"/>
    <col min="19" max="19" width="15.5703125" style="24" bestFit="1" customWidth="1"/>
    <col min="20" max="20" width="31" style="24" bestFit="1" customWidth="1"/>
    <col min="21" max="21" width="20.28515625" style="24" bestFit="1" customWidth="1"/>
    <col min="22" max="22" width="26.5703125" style="24" bestFit="1" customWidth="1"/>
    <col min="23" max="23" width="31.140625" style="24" bestFit="1" customWidth="1"/>
    <col min="24" max="24" width="18.140625" style="24" bestFit="1" customWidth="1"/>
    <col min="25" max="25" width="51.28515625" style="24" bestFit="1" customWidth="1"/>
    <col min="26" max="26" width="17.28515625" style="24" bestFit="1" customWidth="1"/>
    <col min="27" max="27" width="13.85546875" style="24" bestFit="1" customWidth="1"/>
    <col min="28" max="28" width="17.5703125" style="24" bestFit="1" customWidth="1"/>
    <col min="29" max="29" width="14.28515625" style="24" bestFit="1" customWidth="1"/>
    <col min="30" max="30" width="39.85546875" style="24" bestFit="1" customWidth="1"/>
    <col min="31" max="31" width="27.140625" style="24" bestFit="1" customWidth="1"/>
    <col min="32" max="32" width="23" style="24" bestFit="1" customWidth="1"/>
    <col min="33" max="33" width="20.85546875" style="24" bestFit="1" customWidth="1"/>
    <col min="34" max="34" width="15.42578125" style="24" bestFit="1" customWidth="1"/>
    <col min="35" max="35" width="41" style="24" bestFit="1" customWidth="1"/>
    <col min="36" max="36" width="20" style="24" bestFit="1" customWidth="1"/>
    <col min="37" max="37" width="45.5703125" style="24" bestFit="1" customWidth="1"/>
    <col min="38" max="38" width="22.5703125" style="24" bestFit="1" customWidth="1"/>
    <col min="39" max="39" width="48.140625" style="24" bestFit="1" customWidth="1"/>
    <col min="40" max="40" width="28.28515625" style="24" bestFit="1" customWidth="1"/>
    <col min="41" max="41" width="32.85546875" style="24" bestFit="1" customWidth="1"/>
    <col min="42" max="42" width="35.42578125" style="24" bestFit="1" customWidth="1"/>
    <col min="43" max="43" width="24.140625" style="24" bestFit="1" customWidth="1"/>
    <col min="44" max="44" width="28.7109375" style="24" bestFit="1" customWidth="1"/>
    <col min="45" max="45" width="31.28515625" style="24" bestFit="1" customWidth="1"/>
    <col min="46" max="46" width="17.7109375" style="24" bestFit="1" customWidth="1"/>
    <col min="47" max="47" width="23.85546875" style="24" bestFit="1" customWidth="1"/>
    <col min="48" max="48" width="28.42578125" style="24" bestFit="1" customWidth="1"/>
    <col min="49" max="49" width="27.140625" style="24" bestFit="1" customWidth="1"/>
    <col min="50" max="50" width="33.28515625" style="24" bestFit="1" customWidth="1"/>
    <col min="51" max="51" width="38" style="24" bestFit="1" customWidth="1"/>
    <col min="52" max="52" width="18.140625" style="24" bestFit="1" customWidth="1"/>
    <col min="53" max="53" width="24.28515625" style="24" bestFit="1" customWidth="1"/>
    <col min="54" max="54" width="28.85546875" style="24" bestFit="1" customWidth="1"/>
    <col min="55" max="55" width="21.42578125" style="24" bestFit="1" customWidth="1"/>
    <col min="56" max="56" width="22.5703125" style="24" bestFit="1" customWidth="1"/>
    <col min="57" max="57" width="27.140625" style="24" bestFit="1" customWidth="1"/>
    <col min="58" max="58" width="31.28515625" style="24" bestFit="1" customWidth="1"/>
    <col min="59" max="59" width="32.42578125" style="24" bestFit="1" customWidth="1"/>
    <col min="60" max="60" width="37" style="24" bestFit="1" customWidth="1"/>
    <col min="61" max="61" width="26.42578125" style="24" bestFit="1" customWidth="1"/>
    <col min="62" max="62" width="32.5703125" style="24" bestFit="1" customWidth="1"/>
    <col min="63" max="63" width="37.140625" style="24" bestFit="1" customWidth="1"/>
    <col min="64" max="64" width="17.28515625" style="24" bestFit="1" customWidth="1"/>
    <col min="65" max="65" width="21.85546875" style="24" bestFit="1" customWidth="1"/>
    <col min="66" max="66" width="31.140625" style="24" bestFit="1" customWidth="1"/>
    <col min="67" max="67" width="28.5703125" style="24" bestFit="1" customWidth="1"/>
    <col min="68" max="68" width="20.42578125" style="24" bestFit="1" customWidth="1"/>
    <col min="69" max="69" width="27.28515625" style="24" bestFit="1" customWidth="1"/>
    <col min="70" max="70" width="21.140625" style="24" bestFit="1" customWidth="1"/>
    <col min="71" max="71" width="25.85546875" style="24" bestFit="1" customWidth="1"/>
    <col min="72" max="72" width="28.28515625" style="24" bestFit="1" customWidth="1"/>
    <col min="73" max="73" width="28.140625" style="24" bestFit="1" customWidth="1"/>
    <col min="74" max="74" width="23.42578125" style="24" bestFit="1" customWidth="1"/>
    <col min="75" max="75" width="32.85546875" style="24" bestFit="1" customWidth="1"/>
    <col min="76" max="76" width="39.140625" style="24" bestFit="1" customWidth="1"/>
    <col min="77" max="77" width="43.7109375" style="24" bestFit="1" customWidth="1"/>
    <col min="78" max="78" width="29.7109375" style="24" bestFit="1" customWidth="1"/>
    <col min="79" max="79" width="34.28515625" style="24" bestFit="1" customWidth="1"/>
    <col min="80" max="80" width="32" style="24" bestFit="1" customWidth="1"/>
    <col min="81" max="81" width="32.140625" style="24" bestFit="1" customWidth="1"/>
    <col min="82" max="82" width="38.42578125" style="24" bestFit="1" customWidth="1"/>
    <col min="83" max="83" width="49.140625" style="24" bestFit="1" customWidth="1"/>
    <col min="84" max="84" width="53.7109375" style="24" bestFit="1" customWidth="1"/>
    <col min="85" max="85" width="24.85546875" style="24" bestFit="1" customWidth="1"/>
    <col min="86" max="86" width="15.5703125" style="24" bestFit="1" customWidth="1"/>
    <col min="87" max="87" width="18.140625" style="24" bestFit="1" customWidth="1"/>
    <col min="88" max="88" width="13.7109375" style="24" bestFit="1" customWidth="1"/>
    <col min="89" max="89" width="14" style="24" bestFit="1" customWidth="1"/>
    <col min="90" max="90" width="16.42578125" style="24" bestFit="1" customWidth="1"/>
    <col min="91" max="91" width="12" style="24" bestFit="1" customWidth="1"/>
    <col min="92" max="92" width="16.7109375" style="24" bestFit="1" customWidth="1"/>
    <col min="93" max="93" width="19.28515625" style="24" bestFit="1" customWidth="1"/>
    <col min="94" max="94" width="14.85546875" style="24" bestFit="1" customWidth="1"/>
    <col min="95" max="95" width="18.7109375" style="24" bestFit="1" customWidth="1"/>
    <col min="96" max="96" width="42.85546875" style="24" bestFit="1" customWidth="1"/>
    <col min="97" max="97" width="50.7109375" style="24" bestFit="1" customWidth="1"/>
    <col min="98" max="98" width="60.85546875" style="24" bestFit="1" customWidth="1"/>
    <col min="99" max="99" width="30.140625" style="24" bestFit="1" customWidth="1"/>
    <col min="100" max="100" width="28.5703125" style="24" bestFit="1" customWidth="1"/>
    <col min="101" max="101" width="32.140625" style="24" bestFit="1" customWidth="1"/>
    <col min="102" max="16384" width="9.140625" style="24"/>
  </cols>
  <sheetData>
    <row r="1" spans="1:106" x14ac:dyDescent="0.25">
      <c r="A1" s="373" t="s">
        <v>798</v>
      </c>
      <c r="B1" s="373" t="s">
        <v>799</v>
      </c>
      <c r="C1" s="373" t="s">
        <v>800</v>
      </c>
      <c r="D1" s="373" t="s">
        <v>801</v>
      </c>
      <c r="E1" s="373" t="s">
        <v>802</v>
      </c>
      <c r="F1" s="373" t="s">
        <v>803</v>
      </c>
      <c r="G1" s="373" t="s">
        <v>804</v>
      </c>
      <c r="H1" s="373" t="s">
        <v>805</v>
      </c>
      <c r="I1" s="373" t="s">
        <v>806</v>
      </c>
      <c r="J1" s="373" t="s">
        <v>807</v>
      </c>
      <c r="K1" s="373" t="s">
        <v>808</v>
      </c>
      <c r="L1" s="373" t="s">
        <v>809</v>
      </c>
      <c r="M1" s="373" t="s">
        <v>810</v>
      </c>
      <c r="N1" s="373" t="s">
        <v>811</v>
      </c>
      <c r="O1" s="373" t="s">
        <v>812</v>
      </c>
      <c r="P1" s="373" t="s">
        <v>813</v>
      </c>
      <c r="Q1" s="373" t="s">
        <v>814</v>
      </c>
      <c r="R1" s="373" t="s">
        <v>815</v>
      </c>
      <c r="S1" s="373" t="s">
        <v>816</v>
      </c>
      <c r="T1" s="373" t="s">
        <v>817</v>
      </c>
      <c r="U1" s="373" t="s">
        <v>818</v>
      </c>
      <c r="V1" s="373" t="s">
        <v>819</v>
      </c>
      <c r="W1" s="373" t="s">
        <v>820</v>
      </c>
      <c r="X1" s="373" t="s">
        <v>821</v>
      </c>
      <c r="Y1" s="373" t="s">
        <v>822</v>
      </c>
      <c r="Z1" s="373" t="s">
        <v>823</v>
      </c>
      <c r="AA1" s="373" t="s">
        <v>824</v>
      </c>
      <c r="AB1" s="373" t="s">
        <v>825</v>
      </c>
      <c r="AC1" s="373" t="s">
        <v>826</v>
      </c>
      <c r="AD1" s="373" t="s">
        <v>827</v>
      </c>
      <c r="AE1" s="373" t="s">
        <v>828</v>
      </c>
      <c r="AF1" s="373" t="s">
        <v>829</v>
      </c>
      <c r="AG1" s="373" t="s">
        <v>830</v>
      </c>
      <c r="AH1" s="373" t="s">
        <v>831</v>
      </c>
      <c r="AI1" s="373" t="s">
        <v>832</v>
      </c>
      <c r="AJ1" s="373" t="s">
        <v>833</v>
      </c>
      <c r="AK1" s="373" t="s">
        <v>834</v>
      </c>
      <c r="AL1" s="373" t="s">
        <v>835</v>
      </c>
      <c r="AM1" s="373" t="s">
        <v>836</v>
      </c>
      <c r="AN1" s="373" t="s">
        <v>837</v>
      </c>
      <c r="AO1" s="373" t="s">
        <v>838</v>
      </c>
      <c r="AP1" s="373" t="s">
        <v>839</v>
      </c>
      <c r="AQ1" s="373" t="s">
        <v>840</v>
      </c>
      <c r="AR1" s="373" t="s">
        <v>841</v>
      </c>
      <c r="AS1" s="373" t="s">
        <v>842</v>
      </c>
      <c r="AT1" s="373" t="s">
        <v>843</v>
      </c>
      <c r="AU1" s="373" t="s">
        <v>844</v>
      </c>
      <c r="AV1" s="373" t="s">
        <v>845</v>
      </c>
      <c r="AW1" s="373" t="s">
        <v>846</v>
      </c>
      <c r="AX1" s="373" t="s">
        <v>847</v>
      </c>
      <c r="AY1" s="373" t="s">
        <v>848</v>
      </c>
      <c r="AZ1" s="373" t="s">
        <v>849</v>
      </c>
      <c r="BA1" s="373" t="s">
        <v>850</v>
      </c>
      <c r="BB1" s="373" t="s">
        <v>851</v>
      </c>
      <c r="BC1" s="373" t="s">
        <v>852</v>
      </c>
      <c r="BD1" s="373" t="s">
        <v>853</v>
      </c>
      <c r="BE1" s="373" t="s">
        <v>854</v>
      </c>
      <c r="BF1" s="373" t="s">
        <v>855</v>
      </c>
      <c r="BG1" s="373" t="s">
        <v>856</v>
      </c>
      <c r="BH1" s="373" t="s">
        <v>857</v>
      </c>
      <c r="BI1" s="373" t="s">
        <v>858</v>
      </c>
      <c r="BJ1" s="373" t="s">
        <v>859</v>
      </c>
      <c r="BK1" s="373" t="s">
        <v>860</v>
      </c>
      <c r="BL1" s="373" t="s">
        <v>861</v>
      </c>
      <c r="BM1" s="373" t="s">
        <v>862</v>
      </c>
      <c r="BN1" s="373" t="s">
        <v>863</v>
      </c>
      <c r="BO1" s="373" t="s">
        <v>864</v>
      </c>
      <c r="BP1" s="373" t="s">
        <v>865</v>
      </c>
      <c r="BQ1" s="373" t="s">
        <v>866</v>
      </c>
      <c r="BR1" s="373" t="s">
        <v>867</v>
      </c>
      <c r="BS1" s="373" t="s">
        <v>868</v>
      </c>
      <c r="BT1" s="373" t="s">
        <v>869</v>
      </c>
      <c r="BU1" s="373" t="s">
        <v>870</v>
      </c>
      <c r="BV1" s="373" t="s">
        <v>871</v>
      </c>
      <c r="BW1" s="373" t="s">
        <v>872</v>
      </c>
      <c r="BX1" s="373" t="s">
        <v>873</v>
      </c>
      <c r="BY1" s="373" t="s">
        <v>874</v>
      </c>
      <c r="BZ1" s="373" t="s">
        <v>875</v>
      </c>
      <c r="CA1" s="373" t="s">
        <v>876</v>
      </c>
      <c r="CB1" s="373" t="s">
        <v>877</v>
      </c>
      <c r="CC1" s="373" t="s">
        <v>878</v>
      </c>
      <c r="CD1" s="373" t="s">
        <v>879</v>
      </c>
      <c r="CE1" s="373" t="s">
        <v>880</v>
      </c>
      <c r="CF1" s="373" t="s">
        <v>881</v>
      </c>
      <c r="CG1" s="373" t="s">
        <v>882</v>
      </c>
      <c r="CH1" s="373" t="s">
        <v>883</v>
      </c>
      <c r="CI1" s="373" t="s">
        <v>884</v>
      </c>
      <c r="CJ1" s="373" t="s">
        <v>885</v>
      </c>
      <c r="CK1" s="373" t="s">
        <v>886</v>
      </c>
      <c r="CL1" s="373" t="s">
        <v>887</v>
      </c>
      <c r="CM1" s="373" t="s">
        <v>888</v>
      </c>
      <c r="CN1" s="373" t="s">
        <v>889</v>
      </c>
      <c r="CO1" s="373" t="s">
        <v>890</v>
      </c>
      <c r="CP1" s="373" t="s">
        <v>891</v>
      </c>
      <c r="CQ1" s="373" t="s">
        <v>892</v>
      </c>
      <c r="CR1" s="373" t="s">
        <v>893</v>
      </c>
      <c r="CS1" s="373" t="s">
        <v>894</v>
      </c>
      <c r="CT1" s="373" t="s">
        <v>895</v>
      </c>
      <c r="CU1" s="373" t="s">
        <v>896</v>
      </c>
      <c r="CV1" s="373" t="s">
        <v>897</v>
      </c>
      <c r="CW1" s="373" t="s">
        <v>898</v>
      </c>
      <c r="CX1" s="10"/>
      <c r="CY1" s="10"/>
      <c r="CZ1"/>
      <c r="DA1"/>
      <c r="DB1"/>
    </row>
    <row r="2" spans="1:106" x14ac:dyDescent="0.2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74"/>
      <c r="L2" s="374"/>
      <c r="M2" s="374"/>
      <c r="N2" s="374"/>
      <c r="O2" s="374"/>
      <c r="P2" s="374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  <c r="AK2" s="373"/>
      <c r="AL2" s="373"/>
      <c r="AM2" s="373"/>
      <c r="AN2" s="373"/>
      <c r="AO2" s="373"/>
      <c r="AP2" s="373"/>
      <c r="AQ2" s="373"/>
      <c r="AR2" s="373"/>
      <c r="AS2" s="373"/>
      <c r="AT2" s="373"/>
      <c r="AU2" s="373"/>
      <c r="AV2" s="373"/>
      <c r="AW2" s="373"/>
      <c r="AX2" s="373"/>
      <c r="AY2" s="373"/>
      <c r="AZ2" s="373"/>
      <c r="BA2" s="373"/>
      <c r="BB2" s="373"/>
      <c r="BC2" s="373"/>
      <c r="BD2" s="373"/>
      <c r="BE2" s="373"/>
      <c r="BF2" s="373"/>
      <c r="BG2" s="373"/>
      <c r="BH2" s="373"/>
      <c r="BI2" s="373"/>
      <c r="BJ2" s="373"/>
      <c r="BK2" s="373"/>
      <c r="BL2" s="373"/>
      <c r="BM2" s="373"/>
      <c r="BN2" s="373"/>
      <c r="BO2" s="373"/>
      <c r="BP2" s="373"/>
      <c r="BQ2" s="373"/>
      <c r="BR2" s="373"/>
      <c r="BS2" s="373"/>
      <c r="BT2" s="373"/>
      <c r="BU2" s="373"/>
      <c r="BV2" s="373"/>
      <c r="BW2" s="373"/>
      <c r="BX2" s="373"/>
      <c r="BY2" s="373"/>
      <c r="BZ2" s="373"/>
      <c r="CA2" s="373"/>
      <c r="CB2" s="373"/>
      <c r="CC2" s="373"/>
      <c r="CD2" s="373"/>
      <c r="CE2" s="373"/>
      <c r="CF2" s="373"/>
      <c r="CG2" s="373"/>
      <c r="CH2" s="373"/>
      <c r="CI2" s="373"/>
      <c r="CJ2" s="375"/>
      <c r="CK2" s="373"/>
      <c r="CL2" s="373"/>
      <c r="CM2" s="375"/>
      <c r="CN2" s="373"/>
      <c r="CO2" s="373"/>
      <c r="CP2" s="375"/>
      <c r="CQ2" s="373"/>
      <c r="CR2" s="373"/>
      <c r="CS2" s="373"/>
      <c r="CT2" s="373"/>
      <c r="CU2" s="376"/>
      <c r="CV2" s="376"/>
      <c r="CW2" s="376"/>
      <c r="CX2" s="10"/>
      <c r="CY2" s="10"/>
      <c r="CZ2" s="313"/>
      <c r="DA2" s="313"/>
      <c r="DB2" s="313"/>
    </row>
    <row r="3" spans="1:106" x14ac:dyDescent="0.25">
      <c r="A3" s="373"/>
      <c r="B3" s="373"/>
      <c r="C3" s="373"/>
      <c r="D3" s="373"/>
      <c r="E3" s="373"/>
      <c r="F3" s="373"/>
      <c r="G3" s="373"/>
      <c r="H3" s="373"/>
      <c r="I3" s="373"/>
      <c r="J3" s="373"/>
      <c r="K3" s="374"/>
      <c r="L3" s="374"/>
      <c r="M3" s="374"/>
      <c r="N3" s="374"/>
      <c r="O3" s="374"/>
      <c r="P3" s="374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73"/>
      <c r="AK3" s="373"/>
      <c r="AL3" s="373"/>
      <c r="AM3" s="373"/>
      <c r="AN3" s="373"/>
      <c r="AO3" s="373"/>
      <c r="AP3" s="373"/>
      <c r="AQ3" s="373"/>
      <c r="AR3" s="373"/>
      <c r="AS3" s="373"/>
      <c r="AT3" s="373"/>
      <c r="AU3" s="373"/>
      <c r="AV3" s="373"/>
      <c r="AW3" s="373"/>
      <c r="AX3" s="373"/>
      <c r="AY3" s="373"/>
      <c r="AZ3" s="373"/>
      <c r="BA3" s="373"/>
      <c r="BB3" s="373"/>
      <c r="BC3" s="373"/>
      <c r="BD3" s="373"/>
      <c r="BE3" s="373"/>
      <c r="BF3" s="373"/>
      <c r="BG3" s="373"/>
      <c r="BH3" s="373"/>
      <c r="BI3" s="373"/>
      <c r="BJ3" s="373"/>
      <c r="BK3" s="373"/>
      <c r="BL3" s="373"/>
      <c r="BM3" s="373"/>
      <c r="BN3" s="373"/>
      <c r="BO3" s="373"/>
      <c r="BP3" s="373"/>
      <c r="BQ3" s="373"/>
      <c r="BR3" s="373"/>
      <c r="BS3" s="373"/>
      <c r="BT3" s="373"/>
      <c r="BU3" s="373"/>
      <c r="BV3" s="373"/>
      <c r="BW3" s="373"/>
      <c r="BX3" s="373"/>
      <c r="BY3" s="373"/>
      <c r="BZ3" s="373"/>
      <c r="CA3" s="373"/>
      <c r="CB3" s="373"/>
      <c r="CC3" s="373"/>
      <c r="CD3" s="373"/>
      <c r="CE3" s="373"/>
      <c r="CF3" s="373"/>
      <c r="CG3" s="373"/>
      <c r="CH3" s="373"/>
      <c r="CI3" s="373"/>
      <c r="CJ3" s="375"/>
      <c r="CK3" s="373"/>
      <c r="CL3" s="373"/>
      <c r="CM3" s="375"/>
      <c r="CN3" s="373"/>
      <c r="CO3" s="373"/>
      <c r="CP3" s="375"/>
      <c r="CQ3" s="373"/>
      <c r="CR3" s="373"/>
      <c r="CS3" s="373"/>
      <c r="CT3" s="373"/>
      <c r="CU3" s="376"/>
      <c r="CV3" s="376"/>
      <c r="CW3" s="376"/>
      <c r="CX3" s="10"/>
      <c r="CY3" s="10"/>
      <c r="CZ3" s="313"/>
      <c r="DA3" s="313"/>
      <c r="DB3" s="313"/>
    </row>
    <row r="4" spans="1:106" x14ac:dyDescent="0.25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4"/>
      <c r="L4" s="374"/>
      <c r="M4" s="374"/>
      <c r="N4" s="374"/>
      <c r="O4" s="374"/>
      <c r="P4" s="374"/>
      <c r="Q4" s="373"/>
      <c r="R4" s="373"/>
      <c r="S4" s="373"/>
      <c r="T4" s="373"/>
      <c r="U4" s="373"/>
      <c r="V4" s="373"/>
      <c r="W4" s="373"/>
      <c r="X4" s="373"/>
      <c r="Y4" s="373"/>
      <c r="Z4" s="373"/>
      <c r="AA4" s="373"/>
      <c r="AB4" s="373"/>
      <c r="AC4" s="373"/>
      <c r="AD4" s="373"/>
      <c r="AE4" s="373"/>
      <c r="AF4" s="373"/>
      <c r="AG4" s="373"/>
      <c r="AH4" s="373"/>
      <c r="AI4" s="373"/>
      <c r="AJ4" s="373"/>
      <c r="AK4" s="373"/>
      <c r="AL4" s="373"/>
      <c r="AM4" s="373"/>
      <c r="AN4" s="373"/>
      <c r="AO4" s="373"/>
      <c r="AP4" s="373"/>
      <c r="AQ4" s="373"/>
      <c r="AR4" s="373"/>
      <c r="AS4" s="373"/>
      <c r="AT4" s="373"/>
      <c r="AU4" s="373"/>
      <c r="AV4" s="373"/>
      <c r="AW4" s="373"/>
      <c r="AX4" s="373"/>
      <c r="AY4" s="373"/>
      <c r="AZ4" s="373"/>
      <c r="BA4" s="373"/>
      <c r="BB4" s="373"/>
      <c r="BC4" s="373"/>
      <c r="BD4" s="373"/>
      <c r="BE4" s="373"/>
      <c r="BF4" s="373"/>
      <c r="BG4" s="373"/>
      <c r="BH4" s="373"/>
      <c r="BI4" s="373"/>
      <c r="BJ4" s="373"/>
      <c r="BK4" s="373"/>
      <c r="BL4" s="373"/>
      <c r="BM4" s="373"/>
      <c r="BN4" s="373"/>
      <c r="BO4" s="373"/>
      <c r="BP4" s="373"/>
      <c r="BQ4" s="373"/>
      <c r="BR4" s="373"/>
      <c r="BS4" s="373"/>
      <c r="BT4" s="373"/>
      <c r="BU4" s="373"/>
      <c r="BV4" s="373"/>
      <c r="BW4" s="373"/>
      <c r="BX4" s="373"/>
      <c r="BY4" s="373"/>
      <c r="BZ4" s="373"/>
      <c r="CA4" s="373"/>
      <c r="CB4" s="373"/>
      <c r="CC4" s="373"/>
      <c r="CD4" s="373"/>
      <c r="CE4" s="373"/>
      <c r="CF4" s="373"/>
      <c r="CG4" s="373"/>
      <c r="CH4" s="373"/>
      <c r="CI4" s="373"/>
      <c r="CJ4" s="375"/>
      <c r="CK4" s="373"/>
      <c r="CL4" s="373"/>
      <c r="CM4" s="375"/>
      <c r="CN4" s="373"/>
      <c r="CO4" s="373"/>
      <c r="CP4" s="375"/>
      <c r="CQ4" s="373"/>
      <c r="CR4" s="373"/>
      <c r="CS4" s="373"/>
      <c r="CT4" s="373"/>
      <c r="CU4" s="376"/>
      <c r="CV4" s="376"/>
      <c r="CW4" s="376"/>
      <c r="CX4" s="10"/>
      <c r="CY4" s="10"/>
      <c r="CZ4" s="313"/>
      <c r="DA4" s="313"/>
      <c r="DB4" s="313"/>
    </row>
    <row r="5" spans="1:106" x14ac:dyDescent="0.25">
      <c r="A5" s="373"/>
      <c r="B5" s="373"/>
      <c r="C5" s="373"/>
      <c r="D5" s="373"/>
      <c r="E5" s="373"/>
      <c r="F5" s="373"/>
      <c r="G5" s="373"/>
      <c r="H5" s="373"/>
      <c r="I5" s="373"/>
      <c r="J5" s="373"/>
      <c r="K5" s="374"/>
      <c r="L5" s="374"/>
      <c r="M5" s="374"/>
      <c r="N5" s="374"/>
      <c r="O5" s="374"/>
      <c r="P5" s="374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  <c r="BF5" s="373"/>
      <c r="BG5" s="373"/>
      <c r="BH5" s="373"/>
      <c r="BI5" s="373"/>
      <c r="BJ5" s="373"/>
      <c r="BK5" s="373"/>
      <c r="BL5" s="373"/>
      <c r="BM5" s="373"/>
      <c r="BN5" s="373"/>
      <c r="BO5" s="373"/>
      <c r="BP5" s="373"/>
      <c r="BQ5" s="373"/>
      <c r="BR5" s="373"/>
      <c r="BS5" s="373"/>
      <c r="BT5" s="373"/>
      <c r="BU5" s="373"/>
      <c r="BV5" s="373"/>
      <c r="BW5" s="373"/>
      <c r="BX5" s="373"/>
      <c r="BY5" s="373"/>
      <c r="BZ5" s="373"/>
      <c r="CA5" s="373"/>
      <c r="CB5" s="373"/>
      <c r="CC5" s="373"/>
      <c r="CD5" s="373"/>
      <c r="CE5" s="373"/>
      <c r="CF5" s="373"/>
      <c r="CG5" s="373"/>
      <c r="CH5" s="373"/>
      <c r="CI5" s="373"/>
      <c r="CJ5" s="375"/>
      <c r="CK5" s="373"/>
      <c r="CL5" s="373"/>
      <c r="CM5" s="375"/>
      <c r="CN5" s="373"/>
      <c r="CO5" s="373"/>
      <c r="CP5" s="375"/>
      <c r="CQ5" s="373"/>
      <c r="CR5" s="373"/>
      <c r="CS5" s="373"/>
      <c r="CT5" s="373"/>
      <c r="CU5" s="376"/>
      <c r="CV5" s="376"/>
      <c r="CW5" s="376"/>
      <c r="CX5" s="10"/>
      <c r="CY5" s="10"/>
      <c r="CZ5" s="313"/>
      <c r="DA5" s="313"/>
      <c r="DB5" s="313"/>
    </row>
    <row r="6" spans="1:106" x14ac:dyDescent="0.25">
      <c r="A6" s="373"/>
      <c r="B6" s="373"/>
      <c r="C6" s="373"/>
      <c r="D6" s="373"/>
      <c r="E6" s="373"/>
      <c r="F6" s="373"/>
      <c r="G6" s="373"/>
      <c r="H6" s="373"/>
      <c r="I6" s="373"/>
      <c r="J6" s="373"/>
      <c r="K6" s="374"/>
      <c r="L6" s="374"/>
      <c r="M6" s="374"/>
      <c r="N6" s="374"/>
      <c r="O6" s="374"/>
      <c r="P6" s="374"/>
      <c r="Q6" s="373"/>
      <c r="R6" s="373"/>
      <c r="S6" s="373"/>
      <c r="T6" s="373"/>
      <c r="U6" s="373"/>
      <c r="V6" s="373"/>
      <c r="W6" s="373"/>
      <c r="X6" s="373"/>
      <c r="Y6" s="373"/>
      <c r="Z6" s="373"/>
      <c r="AA6" s="373"/>
      <c r="AB6" s="373"/>
      <c r="AC6" s="373"/>
      <c r="AD6" s="373"/>
      <c r="AE6" s="373"/>
      <c r="AF6" s="373"/>
      <c r="AG6" s="373"/>
      <c r="AH6" s="373"/>
      <c r="AI6" s="373"/>
      <c r="AJ6" s="373"/>
      <c r="AK6" s="373"/>
      <c r="AL6" s="373"/>
      <c r="AM6" s="373"/>
      <c r="AN6" s="373"/>
      <c r="AO6" s="373"/>
      <c r="AP6" s="373"/>
      <c r="AQ6" s="373"/>
      <c r="AR6" s="373"/>
      <c r="AS6" s="373"/>
      <c r="AT6" s="373"/>
      <c r="AU6" s="373"/>
      <c r="AV6" s="373"/>
      <c r="AW6" s="373"/>
      <c r="AX6" s="373"/>
      <c r="AY6" s="373"/>
      <c r="AZ6" s="373"/>
      <c r="BA6" s="373"/>
      <c r="BB6" s="373"/>
      <c r="BC6" s="373"/>
      <c r="BD6" s="373"/>
      <c r="BE6" s="373"/>
      <c r="BF6" s="373"/>
      <c r="BG6" s="373"/>
      <c r="BH6" s="373"/>
      <c r="BI6" s="373"/>
      <c r="BJ6" s="373"/>
      <c r="BK6" s="373"/>
      <c r="BL6" s="373"/>
      <c r="BM6" s="373"/>
      <c r="BN6" s="373"/>
      <c r="BO6" s="373"/>
      <c r="BP6" s="373"/>
      <c r="BQ6" s="373"/>
      <c r="BR6" s="373"/>
      <c r="BS6" s="373"/>
      <c r="BT6" s="373"/>
      <c r="BU6" s="373"/>
      <c r="BV6" s="373"/>
      <c r="BW6" s="373"/>
      <c r="BX6" s="373"/>
      <c r="BY6" s="373"/>
      <c r="BZ6" s="373"/>
      <c r="CA6" s="373"/>
      <c r="CB6" s="373"/>
      <c r="CC6" s="373"/>
      <c r="CD6" s="373"/>
      <c r="CE6" s="373"/>
      <c r="CF6" s="373"/>
      <c r="CG6" s="373"/>
      <c r="CH6" s="373"/>
      <c r="CI6" s="373"/>
      <c r="CJ6" s="375"/>
      <c r="CK6" s="373"/>
      <c r="CL6" s="373"/>
      <c r="CM6" s="375"/>
      <c r="CN6" s="373"/>
      <c r="CO6" s="373"/>
      <c r="CP6" s="375"/>
      <c r="CQ6" s="373"/>
      <c r="CR6" s="373"/>
      <c r="CS6" s="373"/>
      <c r="CT6" s="373"/>
      <c r="CU6" s="376"/>
      <c r="CV6" s="376"/>
      <c r="CW6" s="376"/>
      <c r="CX6" s="10"/>
      <c r="CY6" s="10"/>
      <c r="CZ6" s="313"/>
      <c r="DA6" s="313"/>
      <c r="DB6" s="313"/>
    </row>
    <row r="7" spans="1:106" x14ac:dyDescent="0.25">
      <c r="A7" s="373"/>
      <c r="B7" s="373"/>
      <c r="C7" s="373"/>
      <c r="D7" s="373"/>
      <c r="E7" s="373"/>
      <c r="F7" s="373"/>
      <c r="G7" s="373"/>
      <c r="H7" s="373"/>
      <c r="I7" s="373"/>
      <c r="J7" s="373"/>
      <c r="K7" s="374"/>
      <c r="L7" s="374"/>
      <c r="M7" s="374"/>
      <c r="N7" s="374"/>
      <c r="O7" s="374"/>
      <c r="P7" s="374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  <c r="AE7" s="373"/>
      <c r="AF7" s="373"/>
      <c r="AG7" s="373"/>
      <c r="AH7" s="373"/>
      <c r="AI7" s="373"/>
      <c r="AJ7" s="373"/>
      <c r="AK7" s="373"/>
      <c r="AL7" s="373"/>
      <c r="AM7" s="373"/>
      <c r="AN7" s="373"/>
      <c r="AO7" s="373"/>
      <c r="AP7" s="373"/>
      <c r="AQ7" s="373"/>
      <c r="AR7" s="373"/>
      <c r="AS7" s="373"/>
      <c r="AT7" s="373"/>
      <c r="AU7" s="373"/>
      <c r="AV7" s="373"/>
      <c r="AW7" s="373"/>
      <c r="AX7" s="373"/>
      <c r="AY7" s="373"/>
      <c r="AZ7" s="373"/>
      <c r="BA7" s="373"/>
      <c r="BB7" s="373"/>
      <c r="BC7" s="373"/>
      <c r="BD7" s="373"/>
      <c r="BE7" s="373"/>
      <c r="BF7" s="373"/>
      <c r="BG7" s="373"/>
      <c r="BH7" s="373"/>
      <c r="BI7" s="373"/>
      <c r="BJ7" s="373"/>
      <c r="BK7" s="373"/>
      <c r="BL7" s="373"/>
      <c r="BM7" s="373"/>
      <c r="BN7" s="373"/>
      <c r="BO7" s="373"/>
      <c r="BP7" s="373"/>
      <c r="BQ7" s="373"/>
      <c r="BR7" s="373"/>
      <c r="BS7" s="373"/>
      <c r="BT7" s="373"/>
      <c r="BU7" s="373"/>
      <c r="BV7" s="373"/>
      <c r="BW7" s="373"/>
      <c r="BX7" s="373"/>
      <c r="BY7" s="373"/>
      <c r="BZ7" s="373"/>
      <c r="CA7" s="373"/>
      <c r="CB7" s="373"/>
      <c r="CC7" s="373"/>
      <c r="CD7" s="373"/>
      <c r="CE7" s="373"/>
      <c r="CF7" s="373"/>
      <c r="CG7" s="373"/>
      <c r="CH7" s="373"/>
      <c r="CI7" s="373"/>
      <c r="CJ7" s="375"/>
      <c r="CK7" s="373"/>
      <c r="CL7" s="373"/>
      <c r="CM7" s="375"/>
      <c r="CN7" s="373"/>
      <c r="CO7" s="373"/>
      <c r="CP7" s="375"/>
      <c r="CQ7" s="373"/>
      <c r="CR7" s="373"/>
      <c r="CS7" s="373"/>
      <c r="CT7" s="373"/>
      <c r="CU7" s="376"/>
      <c r="CV7" s="376"/>
      <c r="CW7" s="376"/>
      <c r="CX7" s="10"/>
      <c r="CY7" s="10"/>
      <c r="CZ7" s="313"/>
      <c r="DA7" s="313"/>
      <c r="DB7" s="313"/>
    </row>
    <row r="8" spans="1:106" x14ac:dyDescent="0.25">
      <c r="A8" s="373"/>
      <c r="B8" s="373"/>
      <c r="C8" s="373"/>
      <c r="D8" s="373"/>
      <c r="E8" s="373"/>
      <c r="F8" s="373"/>
      <c r="G8" s="373"/>
      <c r="H8" s="373"/>
      <c r="I8" s="373"/>
      <c r="J8" s="373"/>
      <c r="K8" s="374"/>
      <c r="L8" s="374"/>
      <c r="M8" s="374"/>
      <c r="N8" s="374"/>
      <c r="O8" s="374"/>
      <c r="P8" s="374"/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3"/>
      <c r="AB8" s="373"/>
      <c r="AC8" s="373"/>
      <c r="AD8" s="373"/>
      <c r="AE8" s="373"/>
      <c r="AF8" s="373"/>
      <c r="AG8" s="373"/>
      <c r="AH8" s="373"/>
      <c r="AI8" s="373"/>
      <c r="AJ8" s="373"/>
      <c r="AK8" s="373"/>
      <c r="AL8" s="373"/>
      <c r="AM8" s="373"/>
      <c r="AN8" s="373"/>
      <c r="AO8" s="373"/>
      <c r="AP8" s="373"/>
      <c r="AQ8" s="373"/>
      <c r="AR8" s="373"/>
      <c r="AS8" s="373"/>
      <c r="AT8" s="373"/>
      <c r="AU8" s="373"/>
      <c r="AV8" s="373"/>
      <c r="AW8" s="373"/>
      <c r="AX8" s="373"/>
      <c r="AY8" s="373"/>
      <c r="AZ8" s="373"/>
      <c r="BA8" s="373"/>
      <c r="BB8" s="373"/>
      <c r="BC8" s="373"/>
      <c r="BD8" s="373"/>
      <c r="BE8" s="373"/>
      <c r="BF8" s="373"/>
      <c r="BG8" s="373"/>
      <c r="BH8" s="373"/>
      <c r="BI8" s="373"/>
      <c r="BJ8" s="373"/>
      <c r="BK8" s="373"/>
      <c r="BL8" s="373"/>
      <c r="BM8" s="373"/>
      <c r="BN8" s="373"/>
      <c r="BO8" s="373"/>
      <c r="BP8" s="373"/>
      <c r="BQ8" s="373"/>
      <c r="BR8" s="373"/>
      <c r="BS8" s="373"/>
      <c r="BT8" s="373"/>
      <c r="BU8" s="373"/>
      <c r="BV8" s="373"/>
      <c r="BW8" s="373"/>
      <c r="BX8" s="373"/>
      <c r="BY8" s="373"/>
      <c r="BZ8" s="373"/>
      <c r="CA8" s="373"/>
      <c r="CB8" s="373"/>
      <c r="CC8" s="373"/>
      <c r="CD8" s="373"/>
      <c r="CE8" s="373"/>
      <c r="CF8" s="373"/>
      <c r="CG8" s="373"/>
      <c r="CH8" s="373"/>
      <c r="CI8" s="373"/>
      <c r="CJ8" s="375"/>
      <c r="CK8" s="373"/>
      <c r="CL8" s="373"/>
      <c r="CM8" s="375"/>
      <c r="CN8" s="373"/>
      <c r="CO8" s="373"/>
      <c r="CP8" s="375"/>
      <c r="CQ8" s="373"/>
      <c r="CR8" s="373"/>
      <c r="CS8" s="373"/>
      <c r="CT8" s="373"/>
      <c r="CU8" s="376"/>
      <c r="CV8" s="376"/>
      <c r="CW8" s="376"/>
      <c r="CX8" s="10"/>
      <c r="CY8" s="10"/>
      <c r="CZ8" s="313"/>
      <c r="DA8" s="313"/>
      <c r="DB8" s="313"/>
    </row>
    <row r="9" spans="1:106" x14ac:dyDescent="0.25">
      <c r="A9" s="373"/>
      <c r="B9" s="373"/>
      <c r="C9" s="373"/>
      <c r="D9" s="373"/>
      <c r="E9" s="373"/>
      <c r="F9" s="373"/>
      <c r="G9" s="373"/>
      <c r="H9" s="373"/>
      <c r="I9" s="373"/>
      <c r="J9" s="373"/>
      <c r="K9" s="374"/>
      <c r="L9" s="374"/>
      <c r="M9" s="374"/>
      <c r="N9" s="374"/>
      <c r="O9" s="374"/>
      <c r="P9" s="374"/>
      <c r="Q9" s="373"/>
      <c r="R9" s="373"/>
      <c r="S9" s="373"/>
      <c r="T9" s="373"/>
      <c r="U9" s="373"/>
      <c r="V9" s="373"/>
      <c r="W9" s="373"/>
      <c r="X9" s="373"/>
      <c r="Y9" s="373"/>
      <c r="Z9" s="373"/>
      <c r="AA9" s="373"/>
      <c r="AB9" s="373"/>
      <c r="AC9" s="373"/>
      <c r="AD9" s="373"/>
      <c r="AE9" s="373"/>
      <c r="AF9" s="373"/>
      <c r="AG9" s="373"/>
      <c r="AH9" s="373"/>
      <c r="AI9" s="373"/>
      <c r="AJ9" s="373"/>
      <c r="AK9" s="373"/>
      <c r="AL9" s="373"/>
      <c r="AM9" s="373"/>
      <c r="AN9" s="373"/>
      <c r="AO9" s="373"/>
      <c r="AP9" s="373"/>
      <c r="AQ9" s="373"/>
      <c r="AR9" s="373"/>
      <c r="AS9" s="373"/>
      <c r="AT9" s="373"/>
      <c r="AU9" s="373"/>
      <c r="AV9" s="373"/>
      <c r="AW9" s="373"/>
      <c r="AX9" s="373"/>
      <c r="AY9" s="373"/>
      <c r="AZ9" s="373"/>
      <c r="BA9" s="373"/>
      <c r="BB9" s="373"/>
      <c r="BC9" s="373"/>
      <c r="BD9" s="373"/>
      <c r="BE9" s="373"/>
      <c r="BF9" s="373"/>
      <c r="BG9" s="373"/>
      <c r="BH9" s="373"/>
      <c r="BI9" s="373"/>
      <c r="BJ9" s="373"/>
      <c r="BK9" s="373"/>
      <c r="BL9" s="373"/>
      <c r="BM9" s="373"/>
      <c r="BN9" s="373"/>
      <c r="BO9" s="373"/>
      <c r="BP9" s="373"/>
      <c r="BQ9" s="373"/>
      <c r="BR9" s="373"/>
      <c r="BS9" s="373"/>
      <c r="BT9" s="373"/>
      <c r="BU9" s="373"/>
      <c r="BV9" s="373"/>
      <c r="BW9" s="373"/>
      <c r="BX9" s="373"/>
      <c r="BY9" s="373"/>
      <c r="BZ9" s="373"/>
      <c r="CA9" s="373"/>
      <c r="CB9" s="373"/>
      <c r="CC9" s="373"/>
      <c r="CD9" s="373"/>
      <c r="CE9" s="373"/>
      <c r="CF9" s="373"/>
      <c r="CG9" s="373"/>
      <c r="CH9" s="373"/>
      <c r="CI9" s="373"/>
      <c r="CJ9" s="375"/>
      <c r="CK9" s="373"/>
      <c r="CL9" s="373"/>
      <c r="CM9" s="375"/>
      <c r="CN9" s="373"/>
      <c r="CO9" s="373"/>
      <c r="CP9" s="375"/>
      <c r="CQ9" s="373"/>
      <c r="CR9" s="373"/>
      <c r="CS9" s="373"/>
      <c r="CT9" s="373"/>
      <c r="CU9" s="376"/>
      <c r="CV9" s="376"/>
      <c r="CW9" s="376"/>
      <c r="CX9" s="10"/>
      <c r="CY9" s="10"/>
      <c r="CZ9" s="313"/>
      <c r="DA9" s="313"/>
      <c r="DB9" s="313"/>
    </row>
    <row r="10" spans="1:106" x14ac:dyDescent="0.25">
      <c r="A10" s="373"/>
      <c r="B10" s="373"/>
      <c r="C10" s="373"/>
      <c r="D10" s="373"/>
      <c r="E10" s="373"/>
      <c r="F10" s="373"/>
      <c r="G10" s="373"/>
      <c r="H10" s="373"/>
      <c r="I10" s="373"/>
      <c r="J10" s="373"/>
      <c r="K10" s="374"/>
      <c r="L10" s="374"/>
      <c r="M10" s="374"/>
      <c r="N10" s="374"/>
      <c r="O10" s="374"/>
      <c r="P10" s="374"/>
      <c r="Q10" s="373"/>
      <c r="R10" s="373"/>
      <c r="S10" s="373"/>
      <c r="T10" s="373"/>
      <c r="U10" s="373"/>
      <c r="V10" s="373"/>
      <c r="W10" s="373"/>
      <c r="X10" s="373"/>
      <c r="Y10" s="373"/>
      <c r="Z10" s="373"/>
      <c r="AA10" s="373"/>
      <c r="AB10" s="373"/>
      <c r="AC10" s="373"/>
      <c r="AD10" s="373"/>
      <c r="AE10" s="373"/>
      <c r="AF10" s="373"/>
      <c r="AG10" s="373"/>
      <c r="AH10" s="373"/>
      <c r="AI10" s="373"/>
      <c r="AJ10" s="373"/>
      <c r="AK10" s="373"/>
      <c r="AL10" s="373"/>
      <c r="AM10" s="373"/>
      <c r="AN10" s="373"/>
      <c r="AO10" s="373"/>
      <c r="AP10" s="373"/>
      <c r="AQ10" s="373"/>
      <c r="AR10" s="373"/>
      <c r="AS10" s="373"/>
      <c r="AT10" s="373"/>
      <c r="AU10" s="373"/>
      <c r="AV10" s="373"/>
      <c r="AW10" s="373"/>
      <c r="AX10" s="373"/>
      <c r="AY10" s="373"/>
      <c r="AZ10" s="373"/>
      <c r="BA10" s="373"/>
      <c r="BB10" s="373"/>
      <c r="BC10" s="373"/>
      <c r="BD10" s="373"/>
      <c r="BE10" s="373"/>
      <c r="BF10" s="373"/>
      <c r="BG10" s="373"/>
      <c r="BH10" s="373"/>
      <c r="BI10" s="373"/>
      <c r="BJ10" s="373"/>
      <c r="BK10" s="373"/>
      <c r="BL10" s="373"/>
      <c r="BM10" s="373"/>
      <c r="BN10" s="373"/>
      <c r="BO10" s="373"/>
      <c r="BP10" s="373"/>
      <c r="BQ10" s="373"/>
      <c r="BR10" s="373"/>
      <c r="BS10" s="373"/>
      <c r="BT10" s="373"/>
      <c r="BU10" s="373"/>
      <c r="BV10" s="373"/>
      <c r="BW10" s="373"/>
      <c r="BX10" s="373"/>
      <c r="BY10" s="373"/>
      <c r="BZ10" s="373"/>
      <c r="CA10" s="373"/>
      <c r="CB10" s="373"/>
      <c r="CC10" s="373"/>
      <c r="CD10" s="373"/>
      <c r="CE10" s="373"/>
      <c r="CF10" s="373"/>
      <c r="CG10" s="373"/>
      <c r="CH10" s="373"/>
      <c r="CI10" s="373"/>
      <c r="CJ10" s="375"/>
      <c r="CK10" s="373"/>
      <c r="CL10" s="373"/>
      <c r="CM10" s="375"/>
      <c r="CN10" s="373"/>
      <c r="CO10" s="373"/>
      <c r="CP10" s="375"/>
      <c r="CQ10" s="373"/>
      <c r="CR10" s="373"/>
      <c r="CS10" s="373"/>
      <c r="CT10" s="373"/>
      <c r="CU10" s="376"/>
      <c r="CV10" s="376"/>
      <c r="CW10" s="376"/>
      <c r="CX10" s="10"/>
      <c r="CY10" s="10"/>
      <c r="CZ10" s="313"/>
      <c r="DA10" s="313"/>
      <c r="DB10" s="313"/>
    </row>
    <row r="11" spans="1:106" x14ac:dyDescent="0.25">
      <c r="A11" s="373"/>
      <c r="B11" s="373"/>
      <c r="C11" s="373"/>
      <c r="D11" s="373"/>
      <c r="E11" s="373"/>
      <c r="F11" s="373"/>
      <c r="G11" s="373"/>
      <c r="H11" s="373"/>
      <c r="I11" s="373"/>
      <c r="J11" s="373"/>
      <c r="K11" s="374"/>
      <c r="L11" s="374"/>
      <c r="M11" s="374"/>
      <c r="N11" s="374"/>
      <c r="O11" s="374"/>
      <c r="P11" s="374"/>
      <c r="Q11" s="373"/>
      <c r="R11" s="373"/>
      <c r="S11" s="373"/>
      <c r="T11" s="373"/>
      <c r="U11" s="373"/>
      <c r="V11" s="373"/>
      <c r="W11" s="373"/>
      <c r="X11" s="373"/>
      <c r="Y11" s="373"/>
      <c r="Z11" s="373"/>
      <c r="AA11" s="373"/>
      <c r="AB11" s="373"/>
      <c r="AC11" s="373"/>
      <c r="AD11" s="373"/>
      <c r="AE11" s="373"/>
      <c r="AF11" s="373"/>
      <c r="AG11" s="373"/>
      <c r="AH11" s="373"/>
      <c r="AI11" s="373"/>
      <c r="AJ11" s="373"/>
      <c r="AK11" s="373"/>
      <c r="AL11" s="373"/>
      <c r="AM11" s="373"/>
      <c r="AN11" s="373"/>
      <c r="AO11" s="373"/>
      <c r="AP11" s="373"/>
      <c r="AQ11" s="373"/>
      <c r="AR11" s="373"/>
      <c r="AS11" s="373"/>
      <c r="AT11" s="373"/>
      <c r="AU11" s="373"/>
      <c r="AV11" s="373"/>
      <c r="AW11" s="373"/>
      <c r="AX11" s="373"/>
      <c r="AY11" s="373"/>
      <c r="AZ11" s="373"/>
      <c r="BA11" s="373"/>
      <c r="BB11" s="373"/>
      <c r="BC11" s="373"/>
      <c r="BD11" s="373"/>
      <c r="BE11" s="373"/>
      <c r="BF11" s="373"/>
      <c r="BG11" s="373"/>
      <c r="BH11" s="373"/>
      <c r="BI11" s="373"/>
      <c r="BJ11" s="373"/>
      <c r="BK11" s="373"/>
      <c r="BL11" s="373"/>
      <c r="BM11" s="373"/>
      <c r="BN11" s="373"/>
      <c r="BO11" s="373"/>
      <c r="BP11" s="373"/>
      <c r="BQ11" s="373"/>
      <c r="BR11" s="373"/>
      <c r="BS11" s="373"/>
      <c r="BT11" s="373"/>
      <c r="BU11" s="373"/>
      <c r="BV11" s="373"/>
      <c r="BW11" s="373"/>
      <c r="BX11" s="373"/>
      <c r="BY11" s="373"/>
      <c r="BZ11" s="373"/>
      <c r="CA11" s="373"/>
      <c r="CB11" s="373"/>
      <c r="CC11" s="373"/>
      <c r="CD11" s="373"/>
      <c r="CE11" s="373"/>
      <c r="CF11" s="373"/>
      <c r="CG11" s="373"/>
      <c r="CH11" s="373"/>
      <c r="CI11" s="373"/>
      <c r="CJ11" s="375"/>
      <c r="CK11" s="373"/>
      <c r="CL11" s="373"/>
      <c r="CM11" s="375"/>
      <c r="CN11" s="373"/>
      <c r="CO11" s="373"/>
      <c r="CP11" s="375"/>
      <c r="CQ11" s="373"/>
      <c r="CR11" s="373"/>
      <c r="CS11" s="373"/>
      <c r="CT11" s="373"/>
      <c r="CU11" s="376"/>
      <c r="CV11" s="376"/>
      <c r="CW11" s="376"/>
      <c r="CX11" s="10"/>
      <c r="CY11" s="10"/>
      <c r="CZ11" s="313"/>
      <c r="DA11" s="313"/>
      <c r="DB11" s="313"/>
    </row>
    <row r="12" spans="1:106" x14ac:dyDescent="0.25">
      <c r="A12" s="373"/>
      <c r="B12" s="373"/>
      <c r="C12" s="373"/>
      <c r="D12" s="373"/>
      <c r="E12" s="373"/>
      <c r="F12" s="373"/>
      <c r="G12" s="373"/>
      <c r="H12" s="373"/>
      <c r="I12" s="373"/>
      <c r="J12" s="373"/>
      <c r="K12" s="374"/>
      <c r="L12" s="374"/>
      <c r="M12" s="374"/>
      <c r="N12" s="374"/>
      <c r="O12" s="374"/>
      <c r="P12" s="374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  <c r="AC12" s="373"/>
      <c r="AD12" s="373"/>
      <c r="AE12" s="373"/>
      <c r="AF12" s="373"/>
      <c r="AG12" s="373"/>
      <c r="AH12" s="373"/>
      <c r="AI12" s="373"/>
      <c r="AJ12" s="373"/>
      <c r="AK12" s="373"/>
      <c r="AL12" s="373"/>
      <c r="AM12" s="373"/>
      <c r="AN12" s="373"/>
      <c r="AO12" s="373"/>
      <c r="AP12" s="373"/>
      <c r="AQ12" s="373"/>
      <c r="AR12" s="373"/>
      <c r="AS12" s="373"/>
      <c r="AT12" s="373"/>
      <c r="AU12" s="373"/>
      <c r="AV12" s="373"/>
      <c r="AW12" s="373"/>
      <c r="AX12" s="373"/>
      <c r="AY12" s="373"/>
      <c r="AZ12" s="373"/>
      <c r="BA12" s="373"/>
      <c r="BB12" s="373"/>
      <c r="BC12" s="373"/>
      <c r="BD12" s="373"/>
      <c r="BE12" s="373"/>
      <c r="BF12" s="373"/>
      <c r="BG12" s="373"/>
      <c r="BH12" s="373"/>
      <c r="BI12" s="373"/>
      <c r="BJ12" s="373"/>
      <c r="BK12" s="373"/>
      <c r="BL12" s="373"/>
      <c r="BM12" s="373"/>
      <c r="BN12" s="373"/>
      <c r="BO12" s="373"/>
      <c r="BP12" s="373"/>
      <c r="BQ12" s="373"/>
      <c r="BR12" s="373"/>
      <c r="BS12" s="373"/>
      <c r="BT12" s="373"/>
      <c r="BU12" s="373"/>
      <c r="BV12" s="373"/>
      <c r="BW12" s="373"/>
      <c r="BX12" s="373"/>
      <c r="BY12" s="373"/>
      <c r="BZ12" s="373"/>
      <c r="CA12" s="373"/>
      <c r="CB12" s="373"/>
      <c r="CC12" s="373"/>
      <c r="CD12" s="373"/>
      <c r="CE12" s="373"/>
      <c r="CF12" s="373"/>
      <c r="CG12" s="373"/>
      <c r="CH12" s="373"/>
      <c r="CI12" s="373"/>
      <c r="CJ12" s="375"/>
      <c r="CK12" s="373"/>
      <c r="CL12" s="373"/>
      <c r="CM12" s="375"/>
      <c r="CN12" s="373"/>
      <c r="CO12" s="373"/>
      <c r="CP12" s="375"/>
      <c r="CQ12" s="373"/>
      <c r="CR12" s="373"/>
      <c r="CS12" s="373"/>
      <c r="CT12" s="373"/>
      <c r="CU12" s="376"/>
      <c r="CV12" s="376"/>
      <c r="CW12" s="376"/>
      <c r="CX12" s="10"/>
      <c r="CY12" s="10"/>
      <c r="CZ12" s="313"/>
      <c r="DA12" s="313"/>
      <c r="DB12" s="313"/>
    </row>
    <row r="13" spans="1:106" x14ac:dyDescent="0.25">
      <c r="A13" s="373"/>
      <c r="B13" s="373"/>
      <c r="C13" s="373"/>
      <c r="D13" s="373"/>
      <c r="E13" s="373"/>
      <c r="F13" s="373"/>
      <c r="G13" s="373"/>
      <c r="H13" s="373"/>
      <c r="I13" s="373"/>
      <c r="J13" s="373"/>
      <c r="K13" s="374"/>
      <c r="L13" s="374"/>
      <c r="M13" s="374"/>
      <c r="N13" s="374"/>
      <c r="O13" s="374"/>
      <c r="P13" s="374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73"/>
      <c r="AL13" s="373"/>
      <c r="AM13" s="373"/>
      <c r="AN13" s="373"/>
      <c r="AO13" s="373"/>
      <c r="AP13" s="373"/>
      <c r="AQ13" s="373"/>
      <c r="AR13" s="373"/>
      <c r="AS13" s="373"/>
      <c r="AT13" s="373"/>
      <c r="AU13" s="373"/>
      <c r="AV13" s="373"/>
      <c r="AW13" s="373"/>
      <c r="AX13" s="373"/>
      <c r="AY13" s="373"/>
      <c r="AZ13" s="373"/>
      <c r="BA13" s="373"/>
      <c r="BB13" s="373"/>
      <c r="BC13" s="373"/>
      <c r="BD13" s="373"/>
      <c r="BE13" s="373"/>
      <c r="BF13" s="373"/>
      <c r="BG13" s="373"/>
      <c r="BH13" s="373"/>
      <c r="BI13" s="373"/>
      <c r="BJ13" s="373"/>
      <c r="BK13" s="373"/>
      <c r="BL13" s="373"/>
      <c r="BM13" s="373"/>
      <c r="BN13" s="373"/>
      <c r="BO13" s="373"/>
      <c r="BP13" s="373"/>
      <c r="BQ13" s="373"/>
      <c r="BR13" s="373"/>
      <c r="BS13" s="373"/>
      <c r="BT13" s="373"/>
      <c r="BU13" s="373"/>
      <c r="BV13" s="373"/>
      <c r="BW13" s="373"/>
      <c r="BX13" s="373"/>
      <c r="BY13" s="373"/>
      <c r="BZ13" s="373"/>
      <c r="CA13" s="373"/>
      <c r="CB13" s="373"/>
      <c r="CC13" s="373"/>
      <c r="CD13" s="373"/>
      <c r="CE13" s="373"/>
      <c r="CF13" s="373"/>
      <c r="CG13" s="373"/>
      <c r="CH13" s="373"/>
      <c r="CI13" s="373"/>
      <c r="CJ13" s="375"/>
      <c r="CK13" s="373"/>
      <c r="CL13" s="373"/>
      <c r="CM13" s="375"/>
      <c r="CN13" s="373"/>
      <c r="CO13" s="373"/>
      <c r="CP13" s="375"/>
      <c r="CQ13" s="373"/>
      <c r="CR13" s="373"/>
      <c r="CS13" s="373"/>
      <c r="CT13" s="373"/>
      <c r="CU13" s="376"/>
      <c r="CV13" s="376"/>
      <c r="CW13" s="376"/>
      <c r="CX13" s="10"/>
      <c r="CY13" s="10"/>
      <c r="CZ13" s="313"/>
      <c r="DA13" s="313"/>
      <c r="DB13" s="313"/>
    </row>
    <row r="14" spans="1:10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</row>
    <row r="15" spans="1:10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</row>
    <row r="16" spans="1:10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</row>
    <row r="17" spans="1:10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</row>
    <row r="18" spans="1:10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372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R123"/>
  <sheetViews>
    <sheetView zoomScale="70" zoomScaleNormal="70" workbookViewId="0">
      <pane xSplit="5" ySplit="2" topLeftCell="F3" activePane="bottomRight" state="frozen"/>
      <selection pane="topRight" activeCell="K1" sqref="K1"/>
      <selection pane="bottomLeft" activeCell="A3" sqref="A3"/>
      <selection pane="bottomRight" activeCell="U14" sqref="U14"/>
    </sheetView>
  </sheetViews>
  <sheetFormatPr defaultColWidth="8.85546875" defaultRowHeight="15" x14ac:dyDescent="0.25"/>
  <cols>
    <col min="1" max="1" width="19" style="52" customWidth="1"/>
    <col min="2" max="2" width="20.42578125" style="52" customWidth="1"/>
    <col min="3" max="3" width="36.5703125" style="52" customWidth="1"/>
    <col min="4" max="4" width="36.140625" style="52" customWidth="1"/>
    <col min="5" max="5" width="28" style="53" customWidth="1"/>
    <col min="6" max="6" width="27.85546875" style="54" customWidth="1"/>
    <col min="7" max="7" width="14.7109375" style="54" customWidth="1"/>
    <col min="8" max="8" width="13.5703125" style="54" customWidth="1"/>
    <col min="9" max="9" width="12.42578125" style="54" customWidth="1"/>
    <col min="10" max="10" width="12.28515625" style="54" customWidth="1"/>
    <col min="11" max="11" width="11.85546875" style="54" customWidth="1"/>
    <col min="12" max="12" width="9.85546875" style="54" customWidth="1"/>
    <col min="13" max="14" width="16.140625" style="54" customWidth="1"/>
    <col min="15" max="15" width="15" style="54" customWidth="1"/>
    <col min="16" max="16" width="17" style="54" customWidth="1"/>
    <col min="17" max="19" width="16.140625" style="54" customWidth="1"/>
    <col min="20" max="20" width="12.7109375" style="54" customWidth="1"/>
    <col min="21" max="21" width="14.140625" style="54" customWidth="1"/>
    <col min="22" max="22" width="36.28515625" style="54" customWidth="1"/>
    <col min="23" max="24" width="39" style="54" customWidth="1"/>
    <col min="25" max="25" width="27" style="54" customWidth="1"/>
    <col min="26" max="26" width="20" style="54" customWidth="1"/>
    <col min="27" max="27" width="14.140625" style="54" customWidth="1"/>
    <col min="28" max="28" width="11.85546875" style="54" customWidth="1"/>
    <col min="29" max="29" width="13.140625" style="54" customWidth="1"/>
    <col min="30" max="30" width="10.140625" style="54" customWidth="1"/>
    <col min="31" max="31" width="12.28515625" style="54" customWidth="1"/>
    <col min="32" max="32" width="14.7109375" style="54" customWidth="1"/>
    <col min="33" max="33" width="15" style="54" customWidth="1"/>
    <col min="34" max="36" width="16.140625" style="54" customWidth="1"/>
    <col min="37" max="37" width="11.85546875" style="54" customWidth="1"/>
    <col min="38" max="38" width="14.140625" style="54" customWidth="1"/>
    <col min="39" max="39" width="13.5703125" style="54" customWidth="1"/>
    <col min="40" max="42" width="18.42578125" style="54" customWidth="1"/>
    <col min="43" max="43" width="24.28515625" style="53" bestFit="1" customWidth="1"/>
    <col min="44" max="44" width="23.5703125" style="53" customWidth="1"/>
    <col min="45" max="45" width="8.85546875" style="53" customWidth="1"/>
    <col min="46" max="16384" width="8.85546875" style="53"/>
  </cols>
  <sheetData>
    <row r="1" spans="1:44" ht="45.75" customHeight="1" x14ac:dyDescent="0.25">
      <c r="A1" s="438" t="s">
        <v>521</v>
      </c>
      <c r="B1" s="439"/>
      <c r="C1" s="439"/>
      <c r="D1" s="438" t="s">
        <v>522</v>
      </c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41" t="s">
        <v>523</v>
      </c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39"/>
      <c r="AJ1" s="439"/>
      <c r="AK1" s="439"/>
      <c r="AL1" s="439"/>
      <c r="AM1" s="439"/>
      <c r="AN1" s="440" t="s">
        <v>524</v>
      </c>
      <c r="AO1" s="439"/>
      <c r="AP1" s="439"/>
      <c r="AQ1" s="390" t="s">
        <v>525</v>
      </c>
      <c r="AR1" s="390" t="s">
        <v>526</v>
      </c>
    </row>
    <row r="2" spans="1:44" s="64" customFormat="1" ht="90.75" customHeight="1" x14ac:dyDescent="0.25">
      <c r="A2" s="391" t="s">
        <v>527</v>
      </c>
      <c r="B2" s="391" t="s">
        <v>528</v>
      </c>
      <c r="C2" s="391" t="s">
        <v>529</v>
      </c>
      <c r="D2" s="392" t="s">
        <v>530</v>
      </c>
      <c r="E2" s="393" t="s">
        <v>531</v>
      </c>
      <c r="F2" s="393" t="s">
        <v>532</v>
      </c>
      <c r="G2" s="393" t="s">
        <v>533</v>
      </c>
      <c r="H2" s="393" t="s">
        <v>534</v>
      </c>
      <c r="I2" s="393" t="s">
        <v>535</v>
      </c>
      <c r="J2" s="393" t="s">
        <v>536</v>
      </c>
      <c r="K2" s="393" t="s">
        <v>537</v>
      </c>
      <c r="L2" s="393" t="s">
        <v>538</v>
      </c>
      <c r="M2" s="393" t="s">
        <v>539</v>
      </c>
      <c r="N2" s="393" t="s">
        <v>540</v>
      </c>
      <c r="O2" s="393" t="s">
        <v>541</v>
      </c>
      <c r="P2" s="393" t="s">
        <v>899</v>
      </c>
      <c r="Q2" s="393" t="s">
        <v>900</v>
      </c>
      <c r="R2" s="393" t="s">
        <v>543</v>
      </c>
      <c r="S2" s="393" t="s">
        <v>544</v>
      </c>
      <c r="T2" s="393" t="s">
        <v>545</v>
      </c>
      <c r="U2" s="393" t="s">
        <v>546</v>
      </c>
      <c r="V2" s="394" t="s">
        <v>531</v>
      </c>
      <c r="W2" s="394" t="s">
        <v>532</v>
      </c>
      <c r="X2" s="394" t="s">
        <v>533</v>
      </c>
      <c r="Y2" s="394" t="s">
        <v>534</v>
      </c>
      <c r="Z2" s="394" t="s">
        <v>547</v>
      </c>
      <c r="AA2" s="394" t="s">
        <v>535</v>
      </c>
      <c r="AB2" s="394" t="s">
        <v>536</v>
      </c>
      <c r="AC2" s="394" t="s">
        <v>537</v>
      </c>
      <c r="AD2" s="394" t="s">
        <v>538</v>
      </c>
      <c r="AE2" s="394" t="s">
        <v>539</v>
      </c>
      <c r="AF2" s="394" t="s">
        <v>540</v>
      </c>
      <c r="AG2" s="394" t="s">
        <v>548</v>
      </c>
      <c r="AH2" s="394" t="s">
        <v>549</v>
      </c>
      <c r="AI2" s="394" t="s">
        <v>543</v>
      </c>
      <c r="AJ2" s="394" t="s">
        <v>544</v>
      </c>
      <c r="AK2" s="394" t="s">
        <v>545</v>
      </c>
      <c r="AL2" s="394" t="s">
        <v>546</v>
      </c>
      <c r="AM2" s="395" t="s">
        <v>550</v>
      </c>
      <c r="AN2" s="395" t="s">
        <v>551</v>
      </c>
      <c r="AO2" s="395" t="s">
        <v>552</v>
      </c>
      <c r="AP2" s="395" t="s">
        <v>553</v>
      </c>
      <c r="AQ2" s="396" t="s">
        <v>551</v>
      </c>
      <c r="AR2" s="396" t="s">
        <v>551</v>
      </c>
    </row>
    <row r="3" spans="1:44" s="64" customFormat="1" ht="15.75" customHeight="1" x14ac:dyDescent="0.25">
      <c r="A3" s="397" t="e">
        <f>IF(UC_DADOS!$B$2=0,"",UC_DADOS!$B$2)</f>
        <v>#N/A</v>
      </c>
      <c r="B3" s="398"/>
      <c r="C3" s="398"/>
      <c r="D3" s="398"/>
      <c r="E3" s="398"/>
      <c r="F3" s="398"/>
      <c r="G3" s="398"/>
      <c r="H3" s="398"/>
      <c r="I3" s="398"/>
      <c r="J3" s="399">
        <f>IF(H3=0,0,((G3*0.293*I3)/(1000*H3)))</f>
        <v>0</v>
      </c>
      <c r="K3" s="400">
        <v>0.7</v>
      </c>
      <c r="L3" s="401">
        <f t="shared" ref="L3:L44" si="0">J3*K3</f>
        <v>0</v>
      </c>
      <c r="M3" s="398"/>
      <c r="N3" s="402">
        <f>M3*O3*P3</f>
        <v>0</v>
      </c>
      <c r="O3" s="403"/>
      <c r="P3" s="403"/>
      <c r="Q3" s="404">
        <v>21.25</v>
      </c>
      <c r="R3" s="403"/>
      <c r="S3" s="399">
        <f t="shared" ref="S3:S44" si="1">O3*Q3*R3/765</f>
        <v>0</v>
      </c>
      <c r="T3" s="399">
        <f t="shared" ref="T3:T44" si="2">N3*L3/1000</f>
        <v>0</v>
      </c>
      <c r="U3" s="399">
        <f t="shared" ref="U3:U44" si="3">S3*L3</f>
        <v>0</v>
      </c>
      <c r="V3" s="404">
        <f t="array" ref="V3">IF(F3="A",E3,IFERROR(INDEX('EQUIPAMENTOS_EFICIENTES (BDD)'!G:G,MATCH(1,('EQUIPAMENTOS_EFICIENTES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W3" s="404">
        <f t="array" ref="W3">IF(F3="A",F3,IFERROR(INDEX('EQUIPAMENTOS_EFICIENTES (BDD)'!H:H,MATCH(1,('EQUIPAMENTOS_EFICIENTES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X3" s="403">
        <f t="array" ref="X3">IF(F3="A",G3,IFERROR(INDEX('EQUIPAMENTOS_EFICIENTES (BDD)'!I:I,MATCH(1,('EQUIPAMENTOS_EFICIENTES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Y3" s="404">
        <f t="array" ref="Y3">IF(F3="A",H3,IFERROR(INDEX('EQUIPAMENTOS_EFICIENTES (BDD)'!J:J,MATCH(1,('EQUIPAMENTOS_EFICIENTES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Z3" s="404">
        <f t="array" ref="Z3">IFERROR(INDEX('EQUIPAMENTOS_EFICIENTES (BDD)'!K:K,MATCH(1,('EQUIPAMENTOS_EFICIENTES (BDD)'!G:G=E3)*('EQUIPAMENTOS_EFICIENTES (BDD)'!I:I=_xlfn.MINIFS('EQUIPAMENTOS_EFICIENTES (BDD)'!I:I,'EQUIPAMENTOS_EFICIENTES (BDD)'!G:G,E3,'EQUIPAMENTOS_EFICIENTES (BDD)'!I:I,"&gt;="&amp;G3)),0)),"")</f>
        <v>0</v>
      </c>
      <c r="AA3" s="405">
        <f t="shared" ref="AA3:AA44" si="4">I3</f>
        <v>0</v>
      </c>
      <c r="AB3" s="406">
        <f t="shared" ref="AB3:AB44" si="5">IF(Y3=0,0,((X3*0.293*AA3)/(1000*Y3)))</f>
        <v>0</v>
      </c>
      <c r="AC3" s="407">
        <f t="shared" ref="AC3:AC44" si="6">K3</f>
        <v>0.7</v>
      </c>
      <c r="AD3" s="408">
        <f t="shared" ref="AD3:AD44" si="7">AB3*AC3</f>
        <v>0</v>
      </c>
      <c r="AE3" s="408">
        <f t="shared" ref="AE3:AE44" si="8">M3</f>
        <v>0</v>
      </c>
      <c r="AF3" s="405">
        <f t="shared" ref="AF3:AF44" si="9">N3</f>
        <v>0</v>
      </c>
      <c r="AG3" s="405">
        <f t="shared" ref="AG3:AG44" si="10">O3</f>
        <v>0</v>
      </c>
      <c r="AH3" s="406">
        <f t="shared" ref="AH3:AH44" si="11">Q3</f>
        <v>21.25</v>
      </c>
      <c r="AI3" s="406">
        <f t="shared" ref="AI3:AI44" si="12">R3</f>
        <v>0</v>
      </c>
      <c r="AJ3" s="406">
        <f t="shared" ref="AJ3:AJ44" si="13">S3</f>
        <v>0</v>
      </c>
      <c r="AK3" s="406">
        <f t="shared" ref="AK3:AK44" si="14">AD3*AF3/1000</f>
        <v>0</v>
      </c>
      <c r="AL3" s="406">
        <f t="shared" ref="AL3:AL44" si="15">AJ3*AD3</f>
        <v>0</v>
      </c>
      <c r="AM3" s="409">
        <f t="shared" ref="AM3:AM44" si="16">U3-AL3</f>
        <v>0</v>
      </c>
      <c r="AN3" s="410">
        <f t="shared" ref="AN3:AN44" si="17">T3-AK3</f>
        <v>0</v>
      </c>
      <c r="AO3" s="410">
        <f t="shared" ref="AO3:AO44" si="18">IF(AN3&lt;&gt;0,Z3*AA3,0)</f>
        <v>0</v>
      </c>
      <c r="AP3" s="411">
        <f t="shared" ref="AP3:AP44" si="19">AN3/478.332</f>
        <v>0</v>
      </c>
      <c r="AQ3" s="410">
        <f t="shared" ref="AQ3:AQ44" si="20">T3*0.9</f>
        <v>0</v>
      </c>
      <c r="AR3" s="410">
        <f t="shared" ref="AR3:AR44" si="21">AK3*0.9</f>
        <v>0</v>
      </c>
    </row>
    <row r="4" spans="1:44" s="64" customFormat="1" ht="15.75" customHeight="1" x14ac:dyDescent="0.25">
      <c r="A4" s="397" t="e">
        <f>IF(UC_DADOS!$B$2=0,"",UC_DADOS!$B$2)</f>
        <v>#N/A</v>
      </c>
      <c r="B4" s="398"/>
      <c r="C4" s="398"/>
      <c r="D4" s="398"/>
      <c r="E4" s="398"/>
      <c r="F4" s="398"/>
      <c r="G4" s="398"/>
      <c r="H4" s="398"/>
      <c r="I4" s="398"/>
      <c r="J4" s="399">
        <f t="shared" ref="J4:J33" si="22">IF(H4=0,0,((G4*0.293*I4)/(1000*H4)))</f>
        <v>0</v>
      </c>
      <c r="K4" s="400">
        <v>0.7</v>
      </c>
      <c r="L4" s="401">
        <f t="shared" ref="L4:L33" si="23">J4*K4</f>
        <v>0</v>
      </c>
      <c r="M4" s="398"/>
      <c r="N4" s="402">
        <f t="shared" ref="N4:N33" si="24">M4*O4*Q4</f>
        <v>0</v>
      </c>
      <c r="O4" s="403"/>
      <c r="P4" s="403"/>
      <c r="Q4" s="404">
        <v>21.25</v>
      </c>
      <c r="R4" s="403"/>
      <c r="S4" s="399">
        <f t="shared" ref="S4:S33" si="25">O4*Q4*R4/765</f>
        <v>0</v>
      </c>
      <c r="T4" s="399">
        <f t="shared" ref="T4:T33" si="26">N4*L4/1000</f>
        <v>0</v>
      </c>
      <c r="U4" s="399">
        <f t="shared" ref="U4:U33" si="27">S4*L4</f>
        <v>0</v>
      </c>
      <c r="V4" s="404">
        <f t="array" ref="V4">IF(F4="A",E4,IFERROR(INDEX('EQUIPAMENTOS_EFICIENTES (BDD)'!G:G,MATCH(1,('EQUIPAMENTOS_EFICIENTES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W4" s="404">
        <f t="array" ref="W4">IF(F4="A",F4,IFERROR(INDEX('EQUIPAMENTOS_EFICIENTES (BDD)'!H:H,MATCH(1,('EQUIPAMENTOS_EFICIENTES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X4" s="403">
        <f t="array" ref="X4">IF(F4="A",G4,IFERROR(INDEX('EQUIPAMENTOS_EFICIENTES (BDD)'!I:I,MATCH(1,('EQUIPAMENTOS_EFICIENTES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Y4" s="404">
        <f t="array" ref="Y4">IF(F4="A",H4,IFERROR(INDEX('EQUIPAMENTOS_EFICIENTES (BDD)'!J:J,MATCH(1,('EQUIPAMENTOS_EFICIENTES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Z4" s="404">
        <f t="array" ref="Z4">IFERROR(INDEX('EQUIPAMENTOS_EFICIENTES (BDD)'!K:K,MATCH(1,('EQUIPAMENTOS_EFICIENTES (BDD)'!G:G=E4)*('EQUIPAMENTOS_EFICIENTES (BDD)'!I:I=_xlfn.MINIFS('EQUIPAMENTOS_EFICIENTES (BDD)'!I:I,'EQUIPAMENTOS_EFICIENTES (BDD)'!G:G,E4,'EQUIPAMENTOS_EFICIENTES (BDD)'!I:I,"&gt;="&amp;G4)),0)),"")</f>
        <v>0</v>
      </c>
      <c r="AA4" s="405">
        <f t="shared" ref="AA4:AA33" si="28">I4</f>
        <v>0</v>
      </c>
      <c r="AB4" s="406">
        <f t="shared" ref="AB4:AB33" si="29">IF(Y4=0,0,((X4*0.293*AA4)/(1000*Y4)))</f>
        <v>0</v>
      </c>
      <c r="AC4" s="407">
        <f t="shared" ref="AC4:AC33" si="30">K4</f>
        <v>0.7</v>
      </c>
      <c r="AD4" s="408">
        <f t="shared" ref="AD4:AD33" si="31">AB4*AC4</f>
        <v>0</v>
      </c>
      <c r="AE4" s="408">
        <f t="shared" ref="AE4:AE33" si="32">M4</f>
        <v>0</v>
      </c>
      <c r="AF4" s="405">
        <f t="shared" ref="AF4:AF33" si="33">N4</f>
        <v>0</v>
      </c>
      <c r="AG4" s="405">
        <f t="shared" ref="AG4:AG33" si="34">O4</f>
        <v>0</v>
      </c>
      <c r="AH4" s="406">
        <f t="shared" ref="AH4:AH33" si="35">Q4</f>
        <v>21.25</v>
      </c>
      <c r="AI4" s="406">
        <f t="shared" ref="AI4:AI33" si="36">R4</f>
        <v>0</v>
      </c>
      <c r="AJ4" s="406">
        <f t="shared" ref="AJ4:AJ33" si="37">S4</f>
        <v>0</v>
      </c>
      <c r="AK4" s="406">
        <f t="shared" ref="AK4:AK33" si="38">AD4*AF4/1000</f>
        <v>0</v>
      </c>
      <c r="AL4" s="406">
        <f t="shared" ref="AL4:AL33" si="39">AJ4*AD4</f>
        <v>0</v>
      </c>
      <c r="AM4" s="409">
        <f t="shared" ref="AM4:AM33" si="40">U4-AL4</f>
        <v>0</v>
      </c>
      <c r="AN4" s="410">
        <f t="shared" ref="AN4:AN33" si="41">T4-AK4</f>
        <v>0</v>
      </c>
      <c r="AO4" s="410">
        <f t="shared" ref="AO4:AO33" si="42">IF(AN4&lt;&gt;0,Z4*AA4,0)</f>
        <v>0</v>
      </c>
      <c r="AP4" s="411">
        <f t="shared" ref="AP4:AP33" si="43">AN4/478.332</f>
        <v>0</v>
      </c>
      <c r="AQ4" s="410">
        <f t="shared" ref="AQ4:AQ33" si="44">T4*0.9</f>
        <v>0</v>
      </c>
      <c r="AR4" s="410">
        <f t="shared" ref="AR4:AR33" si="45">AK4*0.9</f>
        <v>0</v>
      </c>
    </row>
    <row r="5" spans="1:44" s="64" customFormat="1" ht="15.75" customHeight="1" x14ac:dyDescent="0.25">
      <c r="A5" s="397" t="e">
        <f>IF(UC_DADOS!$B$2=0,"",UC_DADOS!$B$2)</f>
        <v>#N/A</v>
      </c>
      <c r="B5" s="398"/>
      <c r="C5" s="398"/>
      <c r="D5" s="398"/>
      <c r="E5" s="398"/>
      <c r="F5" s="398"/>
      <c r="G5" s="398"/>
      <c r="H5" s="398"/>
      <c r="I5" s="398"/>
      <c r="J5" s="399">
        <f t="shared" si="22"/>
        <v>0</v>
      </c>
      <c r="K5" s="400">
        <v>0.7</v>
      </c>
      <c r="L5" s="401">
        <f t="shared" si="23"/>
        <v>0</v>
      </c>
      <c r="M5" s="398"/>
      <c r="N5" s="402">
        <f t="shared" si="24"/>
        <v>0</v>
      </c>
      <c r="O5" s="403"/>
      <c r="P5" s="403"/>
      <c r="Q5" s="404">
        <v>21.25</v>
      </c>
      <c r="R5" s="403"/>
      <c r="S5" s="399">
        <f t="shared" si="25"/>
        <v>0</v>
      </c>
      <c r="T5" s="399">
        <f t="shared" si="26"/>
        <v>0</v>
      </c>
      <c r="U5" s="399">
        <f t="shared" si="27"/>
        <v>0</v>
      </c>
      <c r="V5" s="404">
        <f t="array" ref="V5">IF(F5="A",E5,IFERROR(INDEX('EQUIPAMENTOS_EFICIENTES (BDD)'!G:G,MATCH(1,('EQUIPAMENTOS_EFICIENTES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W5" s="404">
        <f t="array" ref="W5">IF(F5="A",F5,IFERROR(INDEX('EQUIPAMENTOS_EFICIENTES (BDD)'!H:H,MATCH(1,('EQUIPAMENTOS_EFICIENTES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X5" s="403">
        <f t="array" ref="X5">IF(F5="A",G5,IFERROR(INDEX('EQUIPAMENTOS_EFICIENTES (BDD)'!I:I,MATCH(1,('EQUIPAMENTOS_EFICIENTES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Y5" s="404">
        <f t="array" ref="Y5">IF(F5="A",H5,IFERROR(INDEX('EQUIPAMENTOS_EFICIENTES (BDD)'!J:J,MATCH(1,('EQUIPAMENTOS_EFICIENTES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Z5" s="404">
        <f t="array" ref="Z5">IFERROR(INDEX('EQUIPAMENTOS_EFICIENTES (BDD)'!K:K,MATCH(1,('EQUIPAMENTOS_EFICIENTES (BDD)'!G:G=E5)*('EQUIPAMENTOS_EFICIENTES (BDD)'!I:I=_xlfn.MINIFS('EQUIPAMENTOS_EFICIENTES (BDD)'!I:I,'EQUIPAMENTOS_EFICIENTES (BDD)'!G:G,E5,'EQUIPAMENTOS_EFICIENTES (BDD)'!I:I,"&gt;="&amp;G5)),0)),"")</f>
        <v>0</v>
      </c>
      <c r="AA5" s="405">
        <f t="shared" si="28"/>
        <v>0</v>
      </c>
      <c r="AB5" s="406">
        <f t="shared" si="29"/>
        <v>0</v>
      </c>
      <c r="AC5" s="407">
        <f t="shared" si="30"/>
        <v>0.7</v>
      </c>
      <c r="AD5" s="408">
        <f t="shared" si="31"/>
        <v>0</v>
      </c>
      <c r="AE5" s="408">
        <f t="shared" si="32"/>
        <v>0</v>
      </c>
      <c r="AF5" s="405">
        <f t="shared" si="33"/>
        <v>0</v>
      </c>
      <c r="AG5" s="405">
        <f t="shared" si="34"/>
        <v>0</v>
      </c>
      <c r="AH5" s="406">
        <f t="shared" si="35"/>
        <v>21.25</v>
      </c>
      <c r="AI5" s="406">
        <f t="shared" si="36"/>
        <v>0</v>
      </c>
      <c r="AJ5" s="406">
        <f t="shared" si="37"/>
        <v>0</v>
      </c>
      <c r="AK5" s="406">
        <f t="shared" si="38"/>
        <v>0</v>
      </c>
      <c r="AL5" s="406">
        <f t="shared" si="39"/>
        <v>0</v>
      </c>
      <c r="AM5" s="409">
        <f t="shared" si="40"/>
        <v>0</v>
      </c>
      <c r="AN5" s="410">
        <f t="shared" si="41"/>
        <v>0</v>
      </c>
      <c r="AO5" s="410">
        <f t="shared" si="42"/>
        <v>0</v>
      </c>
      <c r="AP5" s="411">
        <f t="shared" si="43"/>
        <v>0</v>
      </c>
      <c r="AQ5" s="410">
        <f t="shared" si="44"/>
        <v>0</v>
      </c>
      <c r="AR5" s="410">
        <f t="shared" si="45"/>
        <v>0</v>
      </c>
    </row>
    <row r="6" spans="1:44" s="64" customFormat="1" ht="15.75" customHeight="1" x14ac:dyDescent="0.25">
      <c r="A6" s="397" t="e">
        <f>IF(UC_DADOS!$B$2=0,"",UC_DADOS!$B$2)</f>
        <v>#N/A</v>
      </c>
      <c r="B6" s="398"/>
      <c r="C6" s="398"/>
      <c r="D6" s="398"/>
      <c r="E6" s="398"/>
      <c r="F6" s="398"/>
      <c r="G6" s="398"/>
      <c r="H6" s="398"/>
      <c r="I6" s="398"/>
      <c r="J6" s="399">
        <f t="shared" si="22"/>
        <v>0</v>
      </c>
      <c r="K6" s="400">
        <v>0.7</v>
      </c>
      <c r="L6" s="401">
        <f t="shared" si="23"/>
        <v>0</v>
      </c>
      <c r="M6" s="398"/>
      <c r="N6" s="402">
        <f t="shared" si="24"/>
        <v>0</v>
      </c>
      <c r="O6" s="403"/>
      <c r="P6" s="403"/>
      <c r="Q6" s="404">
        <v>21.25</v>
      </c>
      <c r="R6" s="403"/>
      <c r="S6" s="399">
        <f t="shared" si="25"/>
        <v>0</v>
      </c>
      <c r="T6" s="399">
        <f t="shared" si="26"/>
        <v>0</v>
      </c>
      <c r="U6" s="399">
        <f t="shared" si="27"/>
        <v>0</v>
      </c>
      <c r="V6" s="404">
        <f t="array" ref="V6">IF(F6="A",E6,IFERROR(INDEX('EQUIPAMENTOS_EFICIENTES (BDD)'!G:G,MATCH(1,('EQUIPAMENTOS_EFICIENTES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W6" s="404">
        <f t="array" ref="W6">IF(F6="A",F6,IFERROR(INDEX('EQUIPAMENTOS_EFICIENTES (BDD)'!H:H,MATCH(1,('EQUIPAMENTOS_EFICIENTES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X6" s="403">
        <f t="array" ref="X6">IF(F6="A",G6,IFERROR(INDEX('EQUIPAMENTOS_EFICIENTES (BDD)'!I:I,MATCH(1,('EQUIPAMENTOS_EFICIENTES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Y6" s="404">
        <f t="array" ref="Y6">IF(F6="A",H6,IFERROR(INDEX('EQUIPAMENTOS_EFICIENTES (BDD)'!J:J,MATCH(1,('EQUIPAMENTOS_EFICIENTES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Z6" s="404">
        <f t="array" ref="Z6">IFERROR(INDEX('EQUIPAMENTOS_EFICIENTES (BDD)'!K:K,MATCH(1,('EQUIPAMENTOS_EFICIENTES (BDD)'!G:G=E6)*('EQUIPAMENTOS_EFICIENTES (BDD)'!I:I=_xlfn.MINIFS('EQUIPAMENTOS_EFICIENTES (BDD)'!I:I,'EQUIPAMENTOS_EFICIENTES (BDD)'!G:G,E6,'EQUIPAMENTOS_EFICIENTES (BDD)'!I:I,"&gt;="&amp;G6)),0)),"")</f>
        <v>0</v>
      </c>
      <c r="AA6" s="405">
        <f t="shared" si="28"/>
        <v>0</v>
      </c>
      <c r="AB6" s="406">
        <f t="shared" si="29"/>
        <v>0</v>
      </c>
      <c r="AC6" s="407">
        <f t="shared" si="30"/>
        <v>0.7</v>
      </c>
      <c r="AD6" s="408">
        <f t="shared" si="31"/>
        <v>0</v>
      </c>
      <c r="AE6" s="408">
        <f t="shared" si="32"/>
        <v>0</v>
      </c>
      <c r="AF6" s="405">
        <f t="shared" si="33"/>
        <v>0</v>
      </c>
      <c r="AG6" s="405">
        <f t="shared" si="34"/>
        <v>0</v>
      </c>
      <c r="AH6" s="406">
        <f t="shared" si="35"/>
        <v>21.25</v>
      </c>
      <c r="AI6" s="406">
        <f t="shared" si="36"/>
        <v>0</v>
      </c>
      <c r="AJ6" s="406">
        <f t="shared" si="37"/>
        <v>0</v>
      </c>
      <c r="AK6" s="406">
        <f t="shared" si="38"/>
        <v>0</v>
      </c>
      <c r="AL6" s="406">
        <f t="shared" si="39"/>
        <v>0</v>
      </c>
      <c r="AM6" s="409">
        <f t="shared" si="40"/>
        <v>0</v>
      </c>
      <c r="AN6" s="410">
        <f t="shared" si="41"/>
        <v>0</v>
      </c>
      <c r="AO6" s="410">
        <f t="shared" si="42"/>
        <v>0</v>
      </c>
      <c r="AP6" s="411">
        <f t="shared" si="43"/>
        <v>0</v>
      </c>
      <c r="AQ6" s="410">
        <f t="shared" si="44"/>
        <v>0</v>
      </c>
      <c r="AR6" s="410">
        <f t="shared" si="45"/>
        <v>0</v>
      </c>
    </row>
    <row r="7" spans="1:44" s="64" customFormat="1" ht="15.75" customHeight="1" x14ac:dyDescent="0.25">
      <c r="A7" s="397" t="e">
        <f>IF(UC_DADOS!$B$2=0,"",UC_DADOS!$B$2)</f>
        <v>#N/A</v>
      </c>
      <c r="B7" s="398"/>
      <c r="C7" s="398"/>
      <c r="D7" s="398"/>
      <c r="E7" s="398"/>
      <c r="F7" s="398"/>
      <c r="G7" s="398"/>
      <c r="H7" s="398"/>
      <c r="I7" s="398"/>
      <c r="J7" s="399">
        <f t="shared" si="22"/>
        <v>0</v>
      </c>
      <c r="K7" s="400">
        <v>0.7</v>
      </c>
      <c r="L7" s="401">
        <f t="shared" si="23"/>
        <v>0</v>
      </c>
      <c r="M7" s="398"/>
      <c r="N7" s="402">
        <f t="shared" si="24"/>
        <v>0</v>
      </c>
      <c r="O7" s="403"/>
      <c r="P7" s="403"/>
      <c r="Q7" s="404">
        <v>21.25</v>
      </c>
      <c r="R7" s="403"/>
      <c r="S7" s="399">
        <f t="shared" si="25"/>
        <v>0</v>
      </c>
      <c r="T7" s="399">
        <f t="shared" si="26"/>
        <v>0</v>
      </c>
      <c r="U7" s="399">
        <f t="shared" si="27"/>
        <v>0</v>
      </c>
      <c r="V7" s="404">
        <f t="array" ref="V7">IF(F7="A",E7,IFERROR(INDEX('EQUIPAMENTOS_EFICIENTES (BDD)'!G:G,MATCH(1,('EQUIPAMENTOS_EFICIENTES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W7" s="404">
        <f t="array" ref="W7">IF(F7="A",F7,IFERROR(INDEX('EQUIPAMENTOS_EFICIENTES (BDD)'!H:H,MATCH(1,('EQUIPAMENTOS_EFICIENTES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X7" s="403">
        <f t="array" ref="X7">IF(F7="A",G7,IFERROR(INDEX('EQUIPAMENTOS_EFICIENTES (BDD)'!I:I,MATCH(1,('EQUIPAMENTOS_EFICIENTES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Y7" s="404">
        <f t="array" ref="Y7">IF(F7="A",H7,IFERROR(INDEX('EQUIPAMENTOS_EFICIENTES (BDD)'!J:J,MATCH(1,('EQUIPAMENTOS_EFICIENTES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Z7" s="404">
        <f t="array" ref="Z7">IFERROR(INDEX('EQUIPAMENTOS_EFICIENTES (BDD)'!K:K,MATCH(1,('EQUIPAMENTOS_EFICIENTES (BDD)'!G:G=E7)*('EQUIPAMENTOS_EFICIENTES (BDD)'!I:I=_xlfn.MINIFS('EQUIPAMENTOS_EFICIENTES (BDD)'!I:I,'EQUIPAMENTOS_EFICIENTES (BDD)'!G:G,E7,'EQUIPAMENTOS_EFICIENTES (BDD)'!I:I,"&gt;="&amp;G7)),0)),"")</f>
        <v>0</v>
      </c>
      <c r="AA7" s="405">
        <f t="shared" si="28"/>
        <v>0</v>
      </c>
      <c r="AB7" s="406">
        <f t="shared" si="29"/>
        <v>0</v>
      </c>
      <c r="AC7" s="407">
        <f t="shared" si="30"/>
        <v>0.7</v>
      </c>
      <c r="AD7" s="408">
        <f t="shared" si="31"/>
        <v>0</v>
      </c>
      <c r="AE7" s="408">
        <f t="shared" si="32"/>
        <v>0</v>
      </c>
      <c r="AF7" s="405">
        <f t="shared" si="33"/>
        <v>0</v>
      </c>
      <c r="AG7" s="405">
        <f t="shared" si="34"/>
        <v>0</v>
      </c>
      <c r="AH7" s="406">
        <f t="shared" si="35"/>
        <v>21.25</v>
      </c>
      <c r="AI7" s="406">
        <f t="shared" si="36"/>
        <v>0</v>
      </c>
      <c r="AJ7" s="406">
        <f t="shared" si="37"/>
        <v>0</v>
      </c>
      <c r="AK7" s="406">
        <f t="shared" si="38"/>
        <v>0</v>
      </c>
      <c r="AL7" s="406">
        <f t="shared" si="39"/>
        <v>0</v>
      </c>
      <c r="AM7" s="409">
        <f t="shared" si="40"/>
        <v>0</v>
      </c>
      <c r="AN7" s="410">
        <f t="shared" si="41"/>
        <v>0</v>
      </c>
      <c r="AO7" s="410">
        <f t="shared" si="42"/>
        <v>0</v>
      </c>
      <c r="AP7" s="411">
        <f t="shared" si="43"/>
        <v>0</v>
      </c>
      <c r="AQ7" s="410">
        <f t="shared" si="44"/>
        <v>0</v>
      </c>
      <c r="AR7" s="410">
        <f t="shared" si="45"/>
        <v>0</v>
      </c>
    </row>
    <row r="8" spans="1:44" s="64" customFormat="1" ht="15.75" customHeight="1" x14ac:dyDescent="0.25">
      <c r="A8" s="397" t="e">
        <f>IF(UC_DADOS!$B$2=0,"",UC_DADOS!$B$2)</f>
        <v>#N/A</v>
      </c>
      <c r="B8" s="398"/>
      <c r="C8" s="398"/>
      <c r="D8" s="398"/>
      <c r="E8" s="398"/>
      <c r="F8" s="398"/>
      <c r="G8" s="398"/>
      <c r="H8" s="398"/>
      <c r="I8" s="398"/>
      <c r="J8" s="399">
        <f t="shared" si="22"/>
        <v>0</v>
      </c>
      <c r="K8" s="400">
        <v>0.7</v>
      </c>
      <c r="L8" s="401">
        <f t="shared" si="23"/>
        <v>0</v>
      </c>
      <c r="M8" s="398"/>
      <c r="N8" s="402">
        <f t="shared" si="24"/>
        <v>0</v>
      </c>
      <c r="O8" s="403"/>
      <c r="P8" s="403"/>
      <c r="Q8" s="404">
        <v>21.25</v>
      </c>
      <c r="R8" s="403"/>
      <c r="S8" s="399">
        <f t="shared" si="25"/>
        <v>0</v>
      </c>
      <c r="T8" s="399">
        <f t="shared" si="26"/>
        <v>0</v>
      </c>
      <c r="U8" s="399">
        <f t="shared" si="27"/>
        <v>0</v>
      </c>
      <c r="V8" s="404">
        <f t="array" ref="V8">IF(F8="A",E8,IFERROR(INDEX('EQUIPAMENTOS_EFICIENTES (BDD)'!G:G,MATCH(1,('EQUIPAMENTOS_EFICIENTES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W8" s="404">
        <f t="array" ref="W8">IF(F8="A",F8,IFERROR(INDEX('EQUIPAMENTOS_EFICIENTES (BDD)'!H:H,MATCH(1,('EQUIPAMENTOS_EFICIENTES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X8" s="403">
        <f t="array" ref="X8">IF(F8="A",G8,IFERROR(INDEX('EQUIPAMENTOS_EFICIENTES (BDD)'!I:I,MATCH(1,('EQUIPAMENTOS_EFICIENTES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Y8" s="404">
        <f t="array" ref="Y8">IF(F8="A",H8,IFERROR(INDEX('EQUIPAMENTOS_EFICIENTES (BDD)'!J:J,MATCH(1,('EQUIPAMENTOS_EFICIENTES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Z8" s="404">
        <f t="array" ref="Z8">IFERROR(INDEX('EQUIPAMENTOS_EFICIENTES (BDD)'!K:K,MATCH(1,('EQUIPAMENTOS_EFICIENTES (BDD)'!G:G=E8)*('EQUIPAMENTOS_EFICIENTES (BDD)'!I:I=_xlfn.MINIFS('EQUIPAMENTOS_EFICIENTES (BDD)'!I:I,'EQUIPAMENTOS_EFICIENTES (BDD)'!G:G,E8,'EQUIPAMENTOS_EFICIENTES (BDD)'!I:I,"&gt;="&amp;G8)),0)),"")</f>
        <v>0</v>
      </c>
      <c r="AA8" s="405">
        <f t="shared" si="28"/>
        <v>0</v>
      </c>
      <c r="AB8" s="406">
        <f t="shared" si="29"/>
        <v>0</v>
      </c>
      <c r="AC8" s="407">
        <f t="shared" si="30"/>
        <v>0.7</v>
      </c>
      <c r="AD8" s="408">
        <f t="shared" si="31"/>
        <v>0</v>
      </c>
      <c r="AE8" s="408">
        <f t="shared" si="32"/>
        <v>0</v>
      </c>
      <c r="AF8" s="405">
        <f t="shared" si="33"/>
        <v>0</v>
      </c>
      <c r="AG8" s="405">
        <f t="shared" si="34"/>
        <v>0</v>
      </c>
      <c r="AH8" s="406">
        <f t="shared" si="35"/>
        <v>21.25</v>
      </c>
      <c r="AI8" s="406">
        <f t="shared" si="36"/>
        <v>0</v>
      </c>
      <c r="AJ8" s="406">
        <f t="shared" si="37"/>
        <v>0</v>
      </c>
      <c r="AK8" s="406">
        <f t="shared" si="38"/>
        <v>0</v>
      </c>
      <c r="AL8" s="406">
        <f t="shared" si="39"/>
        <v>0</v>
      </c>
      <c r="AM8" s="409">
        <f t="shared" si="40"/>
        <v>0</v>
      </c>
      <c r="AN8" s="410">
        <f t="shared" si="41"/>
        <v>0</v>
      </c>
      <c r="AO8" s="410">
        <f t="shared" si="42"/>
        <v>0</v>
      </c>
      <c r="AP8" s="411">
        <f t="shared" si="43"/>
        <v>0</v>
      </c>
      <c r="AQ8" s="410">
        <f t="shared" si="44"/>
        <v>0</v>
      </c>
      <c r="AR8" s="410">
        <f t="shared" si="45"/>
        <v>0</v>
      </c>
    </row>
    <row r="9" spans="1:44" s="64" customFormat="1" ht="15.75" customHeight="1" x14ac:dyDescent="0.25">
      <c r="A9" s="397" t="e">
        <f>IF(UC_DADOS!$B$2=0,"",UC_DADOS!$B$2)</f>
        <v>#N/A</v>
      </c>
      <c r="B9" s="398"/>
      <c r="C9" s="398"/>
      <c r="D9" s="398"/>
      <c r="E9" s="398"/>
      <c r="F9" s="398"/>
      <c r="G9" s="398"/>
      <c r="H9" s="398"/>
      <c r="I9" s="398"/>
      <c r="J9" s="399">
        <f t="shared" si="22"/>
        <v>0</v>
      </c>
      <c r="K9" s="400">
        <v>0.7</v>
      </c>
      <c r="L9" s="401">
        <f t="shared" si="23"/>
        <v>0</v>
      </c>
      <c r="M9" s="398"/>
      <c r="N9" s="402">
        <f t="shared" si="24"/>
        <v>0</v>
      </c>
      <c r="O9" s="403"/>
      <c r="P9" s="403"/>
      <c r="Q9" s="404">
        <v>21.25</v>
      </c>
      <c r="R9" s="403"/>
      <c r="S9" s="399">
        <f t="shared" si="25"/>
        <v>0</v>
      </c>
      <c r="T9" s="399">
        <f t="shared" si="26"/>
        <v>0</v>
      </c>
      <c r="U9" s="399">
        <f t="shared" si="27"/>
        <v>0</v>
      </c>
      <c r="V9" s="404">
        <f t="array" ref="V9">IF(F9="A",E9,IFERROR(INDEX('EQUIPAMENTOS_EFICIENTES (BDD)'!G:G,MATCH(1,('EQUIPAMENTOS_EFICIENTES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W9" s="404">
        <f t="array" ref="W9">IF(F9="A",F9,IFERROR(INDEX('EQUIPAMENTOS_EFICIENTES (BDD)'!H:H,MATCH(1,('EQUIPAMENTOS_EFICIENTES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X9" s="403">
        <f t="array" ref="X9">IF(F9="A",G9,IFERROR(INDEX('EQUIPAMENTOS_EFICIENTES (BDD)'!I:I,MATCH(1,('EQUIPAMENTOS_EFICIENTES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Y9" s="404">
        <f t="array" ref="Y9">IF(F9="A",H9,IFERROR(INDEX('EQUIPAMENTOS_EFICIENTES (BDD)'!J:J,MATCH(1,('EQUIPAMENTOS_EFICIENTES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Z9" s="404">
        <f t="array" ref="Z9">IFERROR(INDEX('EQUIPAMENTOS_EFICIENTES (BDD)'!K:K,MATCH(1,('EQUIPAMENTOS_EFICIENTES (BDD)'!G:G=E9)*('EQUIPAMENTOS_EFICIENTES (BDD)'!I:I=_xlfn.MINIFS('EQUIPAMENTOS_EFICIENTES (BDD)'!I:I,'EQUIPAMENTOS_EFICIENTES (BDD)'!G:G,E9,'EQUIPAMENTOS_EFICIENTES (BDD)'!I:I,"&gt;="&amp;G9)),0)),"")</f>
        <v>0</v>
      </c>
      <c r="AA9" s="405">
        <f t="shared" si="28"/>
        <v>0</v>
      </c>
      <c r="AB9" s="406">
        <f t="shared" si="29"/>
        <v>0</v>
      </c>
      <c r="AC9" s="407">
        <f t="shared" si="30"/>
        <v>0.7</v>
      </c>
      <c r="AD9" s="408">
        <f t="shared" si="31"/>
        <v>0</v>
      </c>
      <c r="AE9" s="408">
        <f t="shared" si="32"/>
        <v>0</v>
      </c>
      <c r="AF9" s="405">
        <f t="shared" si="33"/>
        <v>0</v>
      </c>
      <c r="AG9" s="405">
        <f t="shared" si="34"/>
        <v>0</v>
      </c>
      <c r="AH9" s="406">
        <f t="shared" si="35"/>
        <v>21.25</v>
      </c>
      <c r="AI9" s="406">
        <f t="shared" si="36"/>
        <v>0</v>
      </c>
      <c r="AJ9" s="406">
        <f t="shared" si="37"/>
        <v>0</v>
      </c>
      <c r="AK9" s="406">
        <f t="shared" si="38"/>
        <v>0</v>
      </c>
      <c r="AL9" s="406">
        <f t="shared" si="39"/>
        <v>0</v>
      </c>
      <c r="AM9" s="409">
        <f t="shared" si="40"/>
        <v>0</v>
      </c>
      <c r="AN9" s="410">
        <f t="shared" si="41"/>
        <v>0</v>
      </c>
      <c r="AO9" s="410">
        <f t="shared" si="42"/>
        <v>0</v>
      </c>
      <c r="AP9" s="411">
        <f t="shared" si="43"/>
        <v>0</v>
      </c>
      <c r="AQ9" s="410">
        <f t="shared" si="44"/>
        <v>0</v>
      </c>
      <c r="AR9" s="410">
        <f t="shared" si="45"/>
        <v>0</v>
      </c>
    </row>
    <row r="10" spans="1:44" s="64" customFormat="1" ht="15.75" customHeight="1" x14ac:dyDescent="0.25">
      <c r="A10" s="397" t="e">
        <f>IF(UC_DADOS!$B$2=0,"",UC_DADOS!$B$2)</f>
        <v>#N/A</v>
      </c>
      <c r="B10" s="398"/>
      <c r="C10" s="398"/>
      <c r="D10" s="398"/>
      <c r="E10" s="398"/>
      <c r="F10" s="398"/>
      <c r="G10" s="398"/>
      <c r="H10" s="398"/>
      <c r="I10" s="398"/>
      <c r="J10" s="399">
        <f t="shared" si="22"/>
        <v>0</v>
      </c>
      <c r="K10" s="400">
        <v>0.7</v>
      </c>
      <c r="L10" s="401">
        <f t="shared" si="23"/>
        <v>0</v>
      </c>
      <c r="M10" s="398"/>
      <c r="N10" s="402">
        <f t="shared" si="24"/>
        <v>0</v>
      </c>
      <c r="O10" s="403"/>
      <c r="P10" s="403"/>
      <c r="Q10" s="404">
        <v>21.25</v>
      </c>
      <c r="R10" s="403"/>
      <c r="S10" s="399">
        <f t="shared" si="25"/>
        <v>0</v>
      </c>
      <c r="T10" s="399">
        <f t="shared" si="26"/>
        <v>0</v>
      </c>
      <c r="U10" s="399">
        <f t="shared" si="27"/>
        <v>0</v>
      </c>
      <c r="V10" s="404">
        <f t="array" ref="V10">IF(F10="A",E10,IFERROR(INDEX('EQUIPAMENTOS_EFICIENTES (BDD)'!G:G,MATCH(1,('EQUIPAMENTOS_EFICIENTES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W10" s="404">
        <f t="array" ref="W10">IF(F10="A",F10,IFERROR(INDEX('EQUIPAMENTOS_EFICIENTES (BDD)'!H:H,MATCH(1,('EQUIPAMENTOS_EFICIENTES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X10" s="403">
        <f t="array" ref="X10">IF(F10="A",G10,IFERROR(INDEX('EQUIPAMENTOS_EFICIENTES (BDD)'!I:I,MATCH(1,('EQUIPAMENTOS_EFICIENTES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Y10" s="404">
        <f t="array" ref="Y10">IF(F10="A",H10,IFERROR(INDEX('EQUIPAMENTOS_EFICIENTES (BDD)'!J:J,MATCH(1,('EQUIPAMENTOS_EFICIENTES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Z10" s="404">
        <f t="array" ref="Z10">IFERROR(INDEX('EQUIPAMENTOS_EFICIENTES (BDD)'!K:K,MATCH(1,('EQUIPAMENTOS_EFICIENTES (BDD)'!G:G=E10)*('EQUIPAMENTOS_EFICIENTES (BDD)'!I:I=_xlfn.MINIFS('EQUIPAMENTOS_EFICIENTES (BDD)'!I:I,'EQUIPAMENTOS_EFICIENTES (BDD)'!G:G,E10,'EQUIPAMENTOS_EFICIENTES (BDD)'!I:I,"&gt;="&amp;G10)),0)),"")</f>
        <v>0</v>
      </c>
      <c r="AA10" s="405">
        <f t="shared" si="28"/>
        <v>0</v>
      </c>
      <c r="AB10" s="406">
        <f t="shared" si="29"/>
        <v>0</v>
      </c>
      <c r="AC10" s="407">
        <f t="shared" si="30"/>
        <v>0.7</v>
      </c>
      <c r="AD10" s="408">
        <f t="shared" si="31"/>
        <v>0</v>
      </c>
      <c r="AE10" s="408">
        <f t="shared" si="32"/>
        <v>0</v>
      </c>
      <c r="AF10" s="405">
        <f t="shared" si="33"/>
        <v>0</v>
      </c>
      <c r="AG10" s="405">
        <f t="shared" si="34"/>
        <v>0</v>
      </c>
      <c r="AH10" s="406">
        <f t="shared" si="35"/>
        <v>21.25</v>
      </c>
      <c r="AI10" s="406">
        <f t="shared" si="36"/>
        <v>0</v>
      </c>
      <c r="AJ10" s="406">
        <f t="shared" si="37"/>
        <v>0</v>
      </c>
      <c r="AK10" s="406">
        <f t="shared" si="38"/>
        <v>0</v>
      </c>
      <c r="AL10" s="406">
        <f t="shared" si="39"/>
        <v>0</v>
      </c>
      <c r="AM10" s="409">
        <f t="shared" si="40"/>
        <v>0</v>
      </c>
      <c r="AN10" s="410">
        <f t="shared" si="41"/>
        <v>0</v>
      </c>
      <c r="AO10" s="410">
        <f t="shared" si="42"/>
        <v>0</v>
      </c>
      <c r="AP10" s="411">
        <f t="shared" si="43"/>
        <v>0</v>
      </c>
      <c r="AQ10" s="410">
        <f t="shared" si="44"/>
        <v>0</v>
      </c>
      <c r="AR10" s="410">
        <f t="shared" si="45"/>
        <v>0</v>
      </c>
    </row>
    <row r="11" spans="1:44" s="64" customFormat="1" ht="15.75" customHeight="1" x14ac:dyDescent="0.25">
      <c r="A11" s="397" t="e">
        <f>IF(UC_DADOS!$B$2=0,"",UC_DADOS!$B$2)</f>
        <v>#N/A</v>
      </c>
      <c r="B11" s="398"/>
      <c r="C11" s="398"/>
      <c r="D11" s="398"/>
      <c r="E11" s="398"/>
      <c r="F11" s="398"/>
      <c r="G11" s="398"/>
      <c r="H11" s="398"/>
      <c r="I11" s="398"/>
      <c r="J11" s="399">
        <f t="shared" si="22"/>
        <v>0</v>
      </c>
      <c r="K11" s="400">
        <v>0.7</v>
      </c>
      <c r="L11" s="401">
        <f t="shared" si="23"/>
        <v>0</v>
      </c>
      <c r="M11" s="398"/>
      <c r="N11" s="402">
        <f t="shared" si="24"/>
        <v>0</v>
      </c>
      <c r="O11" s="403"/>
      <c r="P11" s="403"/>
      <c r="Q11" s="404">
        <v>21.25</v>
      </c>
      <c r="R11" s="403"/>
      <c r="S11" s="399">
        <f t="shared" si="25"/>
        <v>0</v>
      </c>
      <c r="T11" s="399">
        <f t="shared" si="26"/>
        <v>0</v>
      </c>
      <c r="U11" s="399">
        <f t="shared" si="27"/>
        <v>0</v>
      </c>
      <c r="V11" s="404">
        <f t="array" ref="V11">IF(F11="A",E11,IFERROR(INDEX('EQUIPAMENTOS_EFICIENTES (BDD)'!G:G,MATCH(1,('EQUIPAMENTOS_EFICIENTES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W11" s="404">
        <f t="array" ref="W11">IF(F11="A",F11,IFERROR(INDEX('EQUIPAMENTOS_EFICIENTES (BDD)'!H:H,MATCH(1,('EQUIPAMENTOS_EFICIENTES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X11" s="403">
        <f t="array" ref="X11">IF(F11="A",G11,IFERROR(INDEX('EQUIPAMENTOS_EFICIENTES (BDD)'!I:I,MATCH(1,('EQUIPAMENTOS_EFICIENTES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Y11" s="404">
        <f t="array" ref="Y11">IF(F11="A",H11,IFERROR(INDEX('EQUIPAMENTOS_EFICIENTES (BDD)'!J:J,MATCH(1,('EQUIPAMENTOS_EFICIENTES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Z11" s="404">
        <f t="array" ref="Z11">IFERROR(INDEX('EQUIPAMENTOS_EFICIENTES (BDD)'!K:K,MATCH(1,('EQUIPAMENTOS_EFICIENTES (BDD)'!G:G=E11)*('EQUIPAMENTOS_EFICIENTES (BDD)'!I:I=_xlfn.MINIFS('EQUIPAMENTOS_EFICIENTES (BDD)'!I:I,'EQUIPAMENTOS_EFICIENTES (BDD)'!G:G,E11,'EQUIPAMENTOS_EFICIENTES (BDD)'!I:I,"&gt;="&amp;G11)),0)),"")</f>
        <v>0</v>
      </c>
      <c r="AA11" s="405">
        <f t="shared" si="28"/>
        <v>0</v>
      </c>
      <c r="AB11" s="406">
        <f t="shared" si="29"/>
        <v>0</v>
      </c>
      <c r="AC11" s="407">
        <f t="shared" si="30"/>
        <v>0.7</v>
      </c>
      <c r="AD11" s="408">
        <f t="shared" si="31"/>
        <v>0</v>
      </c>
      <c r="AE11" s="408">
        <f t="shared" si="32"/>
        <v>0</v>
      </c>
      <c r="AF11" s="405">
        <f t="shared" si="33"/>
        <v>0</v>
      </c>
      <c r="AG11" s="405">
        <f t="shared" si="34"/>
        <v>0</v>
      </c>
      <c r="AH11" s="406">
        <f t="shared" si="35"/>
        <v>21.25</v>
      </c>
      <c r="AI11" s="406">
        <f t="shared" si="36"/>
        <v>0</v>
      </c>
      <c r="AJ11" s="406">
        <f t="shared" si="37"/>
        <v>0</v>
      </c>
      <c r="AK11" s="406">
        <f t="shared" si="38"/>
        <v>0</v>
      </c>
      <c r="AL11" s="406">
        <f t="shared" si="39"/>
        <v>0</v>
      </c>
      <c r="AM11" s="409">
        <f t="shared" si="40"/>
        <v>0</v>
      </c>
      <c r="AN11" s="410">
        <f t="shared" si="41"/>
        <v>0</v>
      </c>
      <c r="AO11" s="410">
        <f t="shared" si="42"/>
        <v>0</v>
      </c>
      <c r="AP11" s="411">
        <f t="shared" si="43"/>
        <v>0</v>
      </c>
      <c r="AQ11" s="410">
        <f t="shared" si="44"/>
        <v>0</v>
      </c>
      <c r="AR11" s="410">
        <f t="shared" si="45"/>
        <v>0</v>
      </c>
    </row>
    <row r="12" spans="1:44" s="64" customFormat="1" ht="15.75" customHeight="1" x14ac:dyDescent="0.25">
      <c r="A12" s="397" t="e">
        <f>IF(UC_DADOS!$B$2=0,"",UC_DADOS!$B$2)</f>
        <v>#N/A</v>
      </c>
      <c r="B12" s="398"/>
      <c r="C12" s="398"/>
      <c r="D12" s="398"/>
      <c r="E12" s="398"/>
      <c r="F12" s="398"/>
      <c r="G12" s="398"/>
      <c r="H12" s="398"/>
      <c r="I12" s="398"/>
      <c r="J12" s="399">
        <f t="shared" si="22"/>
        <v>0</v>
      </c>
      <c r="K12" s="400">
        <v>0.7</v>
      </c>
      <c r="L12" s="401">
        <f t="shared" si="23"/>
        <v>0</v>
      </c>
      <c r="M12" s="398"/>
      <c r="N12" s="402">
        <f t="shared" si="24"/>
        <v>0</v>
      </c>
      <c r="O12" s="403"/>
      <c r="P12" s="403"/>
      <c r="Q12" s="404">
        <v>21.25</v>
      </c>
      <c r="R12" s="403"/>
      <c r="S12" s="399">
        <f t="shared" si="25"/>
        <v>0</v>
      </c>
      <c r="T12" s="399">
        <f t="shared" si="26"/>
        <v>0</v>
      </c>
      <c r="U12" s="399">
        <f t="shared" si="27"/>
        <v>0</v>
      </c>
      <c r="V12" s="404">
        <f t="array" ref="V12">IF(F12="A",E12,IFERROR(INDEX('EQUIPAMENTOS_EFICIENTES (BDD)'!G:G,MATCH(1,('EQUIPAMENTOS_EFICIENTES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W12" s="404">
        <f t="array" ref="W12">IF(F12="A",F12,IFERROR(INDEX('EQUIPAMENTOS_EFICIENTES (BDD)'!H:H,MATCH(1,('EQUIPAMENTOS_EFICIENTES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X12" s="403">
        <f t="array" ref="X12">IF(F12="A",G12,IFERROR(INDEX('EQUIPAMENTOS_EFICIENTES (BDD)'!I:I,MATCH(1,('EQUIPAMENTOS_EFICIENTES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Y12" s="404">
        <f t="array" ref="Y12">IF(F12="A",H12,IFERROR(INDEX('EQUIPAMENTOS_EFICIENTES (BDD)'!J:J,MATCH(1,('EQUIPAMENTOS_EFICIENTES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Z12" s="404">
        <f t="array" ref="Z12">IFERROR(INDEX('EQUIPAMENTOS_EFICIENTES (BDD)'!K:K,MATCH(1,('EQUIPAMENTOS_EFICIENTES (BDD)'!G:G=E12)*('EQUIPAMENTOS_EFICIENTES (BDD)'!I:I=_xlfn.MINIFS('EQUIPAMENTOS_EFICIENTES (BDD)'!I:I,'EQUIPAMENTOS_EFICIENTES (BDD)'!G:G,E12,'EQUIPAMENTOS_EFICIENTES (BDD)'!I:I,"&gt;="&amp;G12)),0)),"")</f>
        <v>0</v>
      </c>
      <c r="AA12" s="405">
        <f t="shared" si="28"/>
        <v>0</v>
      </c>
      <c r="AB12" s="406">
        <f t="shared" si="29"/>
        <v>0</v>
      </c>
      <c r="AC12" s="407">
        <f t="shared" si="30"/>
        <v>0.7</v>
      </c>
      <c r="AD12" s="408">
        <f t="shared" si="31"/>
        <v>0</v>
      </c>
      <c r="AE12" s="408">
        <f t="shared" si="32"/>
        <v>0</v>
      </c>
      <c r="AF12" s="405">
        <f t="shared" si="33"/>
        <v>0</v>
      </c>
      <c r="AG12" s="405">
        <f t="shared" si="34"/>
        <v>0</v>
      </c>
      <c r="AH12" s="406">
        <f t="shared" si="35"/>
        <v>21.25</v>
      </c>
      <c r="AI12" s="406">
        <f t="shared" si="36"/>
        <v>0</v>
      </c>
      <c r="AJ12" s="406">
        <f t="shared" si="37"/>
        <v>0</v>
      </c>
      <c r="AK12" s="406">
        <f t="shared" si="38"/>
        <v>0</v>
      </c>
      <c r="AL12" s="406">
        <f t="shared" si="39"/>
        <v>0</v>
      </c>
      <c r="AM12" s="409">
        <f t="shared" si="40"/>
        <v>0</v>
      </c>
      <c r="AN12" s="410">
        <f t="shared" si="41"/>
        <v>0</v>
      </c>
      <c r="AO12" s="410">
        <f t="shared" si="42"/>
        <v>0</v>
      </c>
      <c r="AP12" s="411">
        <f t="shared" si="43"/>
        <v>0</v>
      </c>
      <c r="AQ12" s="410">
        <f t="shared" si="44"/>
        <v>0</v>
      </c>
      <c r="AR12" s="410">
        <f t="shared" si="45"/>
        <v>0</v>
      </c>
    </row>
    <row r="13" spans="1:44" s="64" customFormat="1" ht="15.75" customHeight="1" x14ac:dyDescent="0.25">
      <c r="A13" s="397" t="e">
        <f>IF(UC_DADOS!$B$2=0,"",UC_DADOS!$B$2)</f>
        <v>#N/A</v>
      </c>
      <c r="B13" s="398"/>
      <c r="C13" s="398"/>
      <c r="D13" s="398"/>
      <c r="E13" s="398"/>
      <c r="F13" s="398"/>
      <c r="G13" s="398"/>
      <c r="H13" s="398"/>
      <c r="I13" s="398"/>
      <c r="J13" s="399">
        <f t="shared" si="22"/>
        <v>0</v>
      </c>
      <c r="K13" s="400">
        <v>0.7</v>
      </c>
      <c r="L13" s="401">
        <f t="shared" si="23"/>
        <v>0</v>
      </c>
      <c r="M13" s="398"/>
      <c r="N13" s="402">
        <f t="shared" si="24"/>
        <v>0</v>
      </c>
      <c r="O13" s="403"/>
      <c r="P13" s="403"/>
      <c r="Q13" s="404">
        <v>21.25</v>
      </c>
      <c r="R13" s="403"/>
      <c r="S13" s="399">
        <f t="shared" si="25"/>
        <v>0</v>
      </c>
      <c r="T13" s="399">
        <f t="shared" si="26"/>
        <v>0</v>
      </c>
      <c r="U13" s="399">
        <f t="shared" si="27"/>
        <v>0</v>
      </c>
      <c r="V13" s="404">
        <f t="array" ref="V13">IF(F13="A",E13,IFERROR(INDEX('EQUIPAMENTOS_EFICIENTES (BDD)'!G:G,MATCH(1,('EQUIPAMENTOS_EFICIENTES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W13" s="404">
        <f t="array" ref="W13">IF(F13="A",F13,IFERROR(INDEX('EQUIPAMENTOS_EFICIENTES (BDD)'!H:H,MATCH(1,('EQUIPAMENTOS_EFICIENTES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X13" s="403">
        <f t="array" ref="X13">IF(F13="A",G13,IFERROR(INDEX('EQUIPAMENTOS_EFICIENTES (BDD)'!I:I,MATCH(1,('EQUIPAMENTOS_EFICIENTES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Y13" s="404">
        <f t="array" ref="Y13">IF(F13="A",H13,IFERROR(INDEX('EQUIPAMENTOS_EFICIENTES (BDD)'!J:J,MATCH(1,('EQUIPAMENTOS_EFICIENTES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Z13" s="404">
        <f t="array" ref="Z13">IFERROR(INDEX('EQUIPAMENTOS_EFICIENTES (BDD)'!K:K,MATCH(1,('EQUIPAMENTOS_EFICIENTES (BDD)'!G:G=E13)*('EQUIPAMENTOS_EFICIENTES (BDD)'!I:I=_xlfn.MINIFS('EQUIPAMENTOS_EFICIENTES (BDD)'!I:I,'EQUIPAMENTOS_EFICIENTES (BDD)'!G:G,E13,'EQUIPAMENTOS_EFICIENTES (BDD)'!I:I,"&gt;="&amp;G13)),0)),"")</f>
        <v>0</v>
      </c>
      <c r="AA13" s="405">
        <f t="shared" si="28"/>
        <v>0</v>
      </c>
      <c r="AB13" s="406">
        <f t="shared" si="29"/>
        <v>0</v>
      </c>
      <c r="AC13" s="407">
        <f t="shared" si="30"/>
        <v>0.7</v>
      </c>
      <c r="AD13" s="408">
        <f t="shared" si="31"/>
        <v>0</v>
      </c>
      <c r="AE13" s="408">
        <f t="shared" si="32"/>
        <v>0</v>
      </c>
      <c r="AF13" s="405">
        <f t="shared" si="33"/>
        <v>0</v>
      </c>
      <c r="AG13" s="405">
        <f t="shared" si="34"/>
        <v>0</v>
      </c>
      <c r="AH13" s="406">
        <f t="shared" si="35"/>
        <v>21.25</v>
      </c>
      <c r="AI13" s="406">
        <f t="shared" si="36"/>
        <v>0</v>
      </c>
      <c r="AJ13" s="406">
        <f t="shared" si="37"/>
        <v>0</v>
      </c>
      <c r="AK13" s="406">
        <f t="shared" si="38"/>
        <v>0</v>
      </c>
      <c r="AL13" s="406">
        <f t="shared" si="39"/>
        <v>0</v>
      </c>
      <c r="AM13" s="409">
        <f t="shared" si="40"/>
        <v>0</v>
      </c>
      <c r="AN13" s="410">
        <f t="shared" si="41"/>
        <v>0</v>
      </c>
      <c r="AO13" s="410">
        <f t="shared" si="42"/>
        <v>0</v>
      </c>
      <c r="AP13" s="411">
        <f t="shared" si="43"/>
        <v>0</v>
      </c>
      <c r="AQ13" s="410">
        <f t="shared" si="44"/>
        <v>0</v>
      </c>
      <c r="AR13" s="410">
        <f t="shared" si="45"/>
        <v>0</v>
      </c>
    </row>
    <row r="14" spans="1:44" s="64" customFormat="1" ht="15.75" customHeight="1" x14ac:dyDescent="0.25">
      <c r="A14" s="397" t="e">
        <f>IF(UC_DADOS!$B$2=0,"",UC_DADOS!$B$2)</f>
        <v>#N/A</v>
      </c>
      <c r="B14" s="398"/>
      <c r="C14" s="398"/>
      <c r="D14" s="398"/>
      <c r="E14" s="398"/>
      <c r="F14" s="398"/>
      <c r="G14" s="398"/>
      <c r="H14" s="398"/>
      <c r="I14" s="398"/>
      <c r="J14" s="399">
        <f t="shared" si="22"/>
        <v>0</v>
      </c>
      <c r="K14" s="400">
        <v>0.7</v>
      </c>
      <c r="L14" s="401">
        <f t="shared" si="23"/>
        <v>0</v>
      </c>
      <c r="M14" s="398"/>
      <c r="N14" s="402">
        <f t="shared" si="24"/>
        <v>0</v>
      </c>
      <c r="O14" s="403"/>
      <c r="P14" s="403"/>
      <c r="Q14" s="404">
        <v>21.25</v>
      </c>
      <c r="R14" s="403"/>
      <c r="S14" s="399">
        <f t="shared" si="25"/>
        <v>0</v>
      </c>
      <c r="T14" s="399">
        <f t="shared" si="26"/>
        <v>0</v>
      </c>
      <c r="U14" s="399">
        <f t="shared" si="27"/>
        <v>0</v>
      </c>
      <c r="V14" s="404">
        <f t="array" ref="V14">IF(F14="A",E14,IFERROR(INDEX('EQUIPAMENTOS_EFICIENTES (BDD)'!G:G,MATCH(1,('EQUIPAMENTOS_EFICIENTES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W14" s="404">
        <f t="array" ref="W14">IF(F14="A",F14,IFERROR(INDEX('EQUIPAMENTOS_EFICIENTES (BDD)'!H:H,MATCH(1,('EQUIPAMENTOS_EFICIENTES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X14" s="403">
        <f t="array" ref="X14">IF(F14="A",G14,IFERROR(INDEX('EQUIPAMENTOS_EFICIENTES (BDD)'!I:I,MATCH(1,('EQUIPAMENTOS_EFICIENTES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Y14" s="404">
        <f t="array" ref="Y14">IF(F14="A",H14,IFERROR(INDEX('EQUIPAMENTOS_EFICIENTES (BDD)'!J:J,MATCH(1,('EQUIPAMENTOS_EFICIENTES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Z14" s="404">
        <f t="array" ref="Z14">IFERROR(INDEX('EQUIPAMENTOS_EFICIENTES (BDD)'!K:K,MATCH(1,('EQUIPAMENTOS_EFICIENTES (BDD)'!G:G=E14)*('EQUIPAMENTOS_EFICIENTES (BDD)'!I:I=_xlfn.MINIFS('EQUIPAMENTOS_EFICIENTES (BDD)'!I:I,'EQUIPAMENTOS_EFICIENTES (BDD)'!G:G,E14,'EQUIPAMENTOS_EFICIENTES (BDD)'!I:I,"&gt;="&amp;G14)),0)),"")</f>
        <v>0</v>
      </c>
      <c r="AA14" s="405">
        <f t="shared" si="28"/>
        <v>0</v>
      </c>
      <c r="AB14" s="406">
        <f t="shared" si="29"/>
        <v>0</v>
      </c>
      <c r="AC14" s="407">
        <f t="shared" si="30"/>
        <v>0.7</v>
      </c>
      <c r="AD14" s="408">
        <f t="shared" si="31"/>
        <v>0</v>
      </c>
      <c r="AE14" s="408">
        <f t="shared" si="32"/>
        <v>0</v>
      </c>
      <c r="AF14" s="405">
        <f t="shared" si="33"/>
        <v>0</v>
      </c>
      <c r="AG14" s="405">
        <f t="shared" si="34"/>
        <v>0</v>
      </c>
      <c r="AH14" s="406">
        <f t="shared" si="35"/>
        <v>21.25</v>
      </c>
      <c r="AI14" s="406">
        <f t="shared" si="36"/>
        <v>0</v>
      </c>
      <c r="AJ14" s="406">
        <f t="shared" si="37"/>
        <v>0</v>
      </c>
      <c r="AK14" s="406">
        <f t="shared" si="38"/>
        <v>0</v>
      </c>
      <c r="AL14" s="406">
        <f t="shared" si="39"/>
        <v>0</v>
      </c>
      <c r="AM14" s="409">
        <f t="shared" si="40"/>
        <v>0</v>
      </c>
      <c r="AN14" s="410">
        <f t="shared" si="41"/>
        <v>0</v>
      </c>
      <c r="AO14" s="410">
        <f t="shared" si="42"/>
        <v>0</v>
      </c>
      <c r="AP14" s="411">
        <f t="shared" si="43"/>
        <v>0</v>
      </c>
      <c r="AQ14" s="410">
        <f t="shared" si="44"/>
        <v>0</v>
      </c>
      <c r="AR14" s="410">
        <f t="shared" si="45"/>
        <v>0</v>
      </c>
    </row>
    <row r="15" spans="1:44" s="64" customFormat="1" ht="15.75" customHeight="1" x14ac:dyDescent="0.25">
      <c r="A15" s="397" t="e">
        <f>IF(UC_DADOS!$B$2=0,"",UC_DADOS!$B$2)</f>
        <v>#N/A</v>
      </c>
      <c r="B15" s="398"/>
      <c r="C15" s="398"/>
      <c r="D15" s="398"/>
      <c r="E15" s="398"/>
      <c r="F15" s="398"/>
      <c r="G15" s="398"/>
      <c r="H15" s="398"/>
      <c r="I15" s="398"/>
      <c r="J15" s="399">
        <f t="shared" si="22"/>
        <v>0</v>
      </c>
      <c r="K15" s="400">
        <v>0.7</v>
      </c>
      <c r="L15" s="401">
        <f t="shared" si="23"/>
        <v>0</v>
      </c>
      <c r="M15" s="398"/>
      <c r="N15" s="402">
        <f t="shared" si="24"/>
        <v>0</v>
      </c>
      <c r="O15" s="403"/>
      <c r="P15" s="403"/>
      <c r="Q15" s="404">
        <v>21.25</v>
      </c>
      <c r="R15" s="403"/>
      <c r="S15" s="399">
        <f t="shared" si="25"/>
        <v>0</v>
      </c>
      <c r="T15" s="399">
        <f t="shared" si="26"/>
        <v>0</v>
      </c>
      <c r="U15" s="399">
        <f t="shared" si="27"/>
        <v>0</v>
      </c>
      <c r="V15" s="404">
        <f t="array" ref="V15">IF(F15="A",E15,IFERROR(INDEX('EQUIPAMENTOS_EFICIENTES (BDD)'!G:G,MATCH(1,('EQUIPAMENTOS_EFICIENTES (BDD)'!G:G=E15)*('EQUIPAMENTOS_EFICIENTES (BDD)'!I:I=_xlfn.MINIFS('EQUIPAMENTOS_EFICIENTES (BDD)'!I:I,'EQUIPAMENTOS_EFICIENTES (BDD)'!G:G,E15,'EQUIPAMENTOS_EFICIENTES (BDD)'!I:I,"&gt;="&amp;G15)),0)),"Substituição não encontrada"))</f>
        <v>0</v>
      </c>
      <c r="W15" s="404">
        <f t="array" ref="W15">IF(F15="A",F15,IFERROR(INDEX('EQUIPAMENTOS_EFICIENTES (BDD)'!H:H,MATCH(1,('EQUIPAMENTOS_EFICIENTES (BDD)'!G:G=E15)*('EQUIPAMENTOS_EFICIENTES (BDD)'!I:I=_xlfn.MINIFS('EQUIPAMENTOS_EFICIENTES (BDD)'!I:I,'EQUIPAMENTOS_EFICIENTES (BDD)'!G:G,E15,'EQUIPAMENTOS_EFICIENTES (BDD)'!I:I,"&gt;="&amp;G15)),0)),"Substituição não encontrada"))</f>
        <v>0</v>
      </c>
      <c r="X15" s="403">
        <f t="array" ref="X15">IF(F15="A",G15,IFERROR(INDEX('EQUIPAMENTOS_EFICIENTES (BDD)'!I:I,MATCH(1,('EQUIPAMENTOS_EFICIENTES (BDD)'!G:G=E15)*('EQUIPAMENTOS_EFICIENTES (BDD)'!I:I=_xlfn.MINIFS('EQUIPAMENTOS_EFICIENTES (BDD)'!I:I,'EQUIPAMENTOS_EFICIENTES (BDD)'!G:G,E15,'EQUIPAMENTOS_EFICIENTES (BDD)'!I:I,"&gt;="&amp;G15)),0)),"Substituição não encontrada"))</f>
        <v>0</v>
      </c>
      <c r="Y15" s="404">
        <f t="array" ref="Y15">IF(F15="A",H15,IFERROR(INDEX('EQUIPAMENTOS_EFICIENTES (BDD)'!J:J,MATCH(1,('EQUIPAMENTOS_EFICIENTES (BDD)'!G:G=E15)*('EQUIPAMENTOS_EFICIENTES (BDD)'!I:I=_xlfn.MINIFS('EQUIPAMENTOS_EFICIENTES (BDD)'!I:I,'EQUIPAMENTOS_EFICIENTES (BDD)'!G:G,E15,'EQUIPAMENTOS_EFICIENTES (BDD)'!I:I,"&gt;="&amp;G15)),0)),"Substituição não encontrada"))</f>
        <v>0</v>
      </c>
      <c r="Z15" s="404">
        <f t="array" ref="Z15">IFERROR(INDEX('EQUIPAMENTOS_EFICIENTES (BDD)'!K:K,MATCH(1,('EQUIPAMENTOS_EFICIENTES (BDD)'!G:G=E15)*('EQUIPAMENTOS_EFICIENTES (BDD)'!I:I=_xlfn.MINIFS('EQUIPAMENTOS_EFICIENTES (BDD)'!I:I,'EQUIPAMENTOS_EFICIENTES (BDD)'!G:G,E15,'EQUIPAMENTOS_EFICIENTES (BDD)'!I:I,"&gt;="&amp;G15)),0)),"")</f>
        <v>0</v>
      </c>
      <c r="AA15" s="405">
        <f t="shared" si="28"/>
        <v>0</v>
      </c>
      <c r="AB15" s="406">
        <f t="shared" si="29"/>
        <v>0</v>
      </c>
      <c r="AC15" s="407">
        <f t="shared" si="30"/>
        <v>0.7</v>
      </c>
      <c r="AD15" s="408">
        <f t="shared" si="31"/>
        <v>0</v>
      </c>
      <c r="AE15" s="408">
        <f t="shared" si="32"/>
        <v>0</v>
      </c>
      <c r="AF15" s="405">
        <f t="shared" si="33"/>
        <v>0</v>
      </c>
      <c r="AG15" s="405">
        <f t="shared" si="34"/>
        <v>0</v>
      </c>
      <c r="AH15" s="406">
        <f t="shared" si="35"/>
        <v>21.25</v>
      </c>
      <c r="AI15" s="406">
        <f t="shared" si="36"/>
        <v>0</v>
      </c>
      <c r="AJ15" s="406">
        <f t="shared" si="37"/>
        <v>0</v>
      </c>
      <c r="AK15" s="406">
        <f t="shared" si="38"/>
        <v>0</v>
      </c>
      <c r="AL15" s="406">
        <f t="shared" si="39"/>
        <v>0</v>
      </c>
      <c r="AM15" s="409">
        <f t="shared" si="40"/>
        <v>0</v>
      </c>
      <c r="AN15" s="410">
        <f t="shared" si="41"/>
        <v>0</v>
      </c>
      <c r="AO15" s="410">
        <f t="shared" si="42"/>
        <v>0</v>
      </c>
      <c r="AP15" s="411">
        <f t="shared" si="43"/>
        <v>0</v>
      </c>
      <c r="AQ15" s="410">
        <f t="shared" si="44"/>
        <v>0</v>
      </c>
      <c r="AR15" s="410">
        <f t="shared" si="45"/>
        <v>0</v>
      </c>
    </row>
    <row r="16" spans="1:44" s="64" customFormat="1" ht="15.75" customHeight="1" x14ac:dyDescent="0.25">
      <c r="A16" s="397" t="e">
        <f>IF(UC_DADOS!$B$2=0,"",UC_DADOS!$B$2)</f>
        <v>#N/A</v>
      </c>
      <c r="B16" s="398"/>
      <c r="C16" s="398"/>
      <c r="D16" s="398"/>
      <c r="E16" s="398"/>
      <c r="F16" s="398"/>
      <c r="G16" s="398"/>
      <c r="H16" s="398"/>
      <c r="I16" s="398"/>
      <c r="J16" s="399">
        <f t="shared" si="22"/>
        <v>0</v>
      </c>
      <c r="K16" s="400">
        <v>0.7</v>
      </c>
      <c r="L16" s="401">
        <f t="shared" si="23"/>
        <v>0</v>
      </c>
      <c r="M16" s="398"/>
      <c r="N16" s="402">
        <f t="shared" si="24"/>
        <v>0</v>
      </c>
      <c r="O16" s="403"/>
      <c r="P16" s="403"/>
      <c r="Q16" s="404">
        <v>21.25</v>
      </c>
      <c r="R16" s="403"/>
      <c r="S16" s="399">
        <f t="shared" si="25"/>
        <v>0</v>
      </c>
      <c r="T16" s="399">
        <f t="shared" si="26"/>
        <v>0</v>
      </c>
      <c r="U16" s="399">
        <f t="shared" si="27"/>
        <v>0</v>
      </c>
      <c r="V16" s="404">
        <f t="array" ref="V16">IF(F16="A",E16,IFERROR(INDEX('EQUIPAMENTOS_EFICIENTES (BDD)'!G:G,MATCH(1,('EQUIPAMENTOS_EFICIENTES (BDD)'!G:G=E16)*('EQUIPAMENTOS_EFICIENTES (BDD)'!I:I=_xlfn.MINIFS('EQUIPAMENTOS_EFICIENTES (BDD)'!I:I,'EQUIPAMENTOS_EFICIENTES (BDD)'!G:G,E16,'EQUIPAMENTOS_EFICIENTES (BDD)'!I:I,"&gt;="&amp;G16)),0)),"Substituição não encontrada"))</f>
        <v>0</v>
      </c>
      <c r="W16" s="404">
        <f t="array" ref="W16">IF(F16="A",F16,IFERROR(INDEX('EQUIPAMENTOS_EFICIENTES (BDD)'!H:H,MATCH(1,('EQUIPAMENTOS_EFICIENTES (BDD)'!G:G=E16)*('EQUIPAMENTOS_EFICIENTES (BDD)'!I:I=_xlfn.MINIFS('EQUIPAMENTOS_EFICIENTES (BDD)'!I:I,'EQUIPAMENTOS_EFICIENTES (BDD)'!G:G,E16,'EQUIPAMENTOS_EFICIENTES (BDD)'!I:I,"&gt;="&amp;G16)),0)),"Substituição não encontrada"))</f>
        <v>0</v>
      </c>
      <c r="X16" s="403">
        <f t="array" ref="X16">IF(F16="A",G16,IFERROR(INDEX('EQUIPAMENTOS_EFICIENTES (BDD)'!I:I,MATCH(1,('EQUIPAMENTOS_EFICIENTES (BDD)'!G:G=E16)*('EQUIPAMENTOS_EFICIENTES (BDD)'!I:I=_xlfn.MINIFS('EQUIPAMENTOS_EFICIENTES (BDD)'!I:I,'EQUIPAMENTOS_EFICIENTES (BDD)'!G:G,E16,'EQUIPAMENTOS_EFICIENTES (BDD)'!I:I,"&gt;="&amp;G16)),0)),"Substituição não encontrada"))</f>
        <v>0</v>
      </c>
      <c r="Y16" s="404">
        <f t="array" ref="Y16">IF(F16="A",H16,IFERROR(INDEX('EQUIPAMENTOS_EFICIENTES (BDD)'!J:J,MATCH(1,('EQUIPAMENTOS_EFICIENTES (BDD)'!G:G=E16)*('EQUIPAMENTOS_EFICIENTES (BDD)'!I:I=_xlfn.MINIFS('EQUIPAMENTOS_EFICIENTES (BDD)'!I:I,'EQUIPAMENTOS_EFICIENTES (BDD)'!G:G,E16,'EQUIPAMENTOS_EFICIENTES (BDD)'!I:I,"&gt;="&amp;G16)),0)),"Substituição não encontrada"))</f>
        <v>0</v>
      </c>
      <c r="Z16" s="404">
        <f t="array" ref="Z16">IFERROR(INDEX('EQUIPAMENTOS_EFICIENTES (BDD)'!K:K,MATCH(1,('EQUIPAMENTOS_EFICIENTES (BDD)'!G:G=E16)*('EQUIPAMENTOS_EFICIENTES (BDD)'!I:I=_xlfn.MINIFS('EQUIPAMENTOS_EFICIENTES (BDD)'!I:I,'EQUIPAMENTOS_EFICIENTES (BDD)'!G:G,E16,'EQUIPAMENTOS_EFICIENTES (BDD)'!I:I,"&gt;="&amp;G16)),0)),"")</f>
        <v>0</v>
      </c>
      <c r="AA16" s="405">
        <f t="shared" si="28"/>
        <v>0</v>
      </c>
      <c r="AB16" s="406">
        <f t="shared" si="29"/>
        <v>0</v>
      </c>
      <c r="AC16" s="407">
        <f t="shared" si="30"/>
        <v>0.7</v>
      </c>
      <c r="AD16" s="408">
        <f t="shared" si="31"/>
        <v>0</v>
      </c>
      <c r="AE16" s="408">
        <f t="shared" si="32"/>
        <v>0</v>
      </c>
      <c r="AF16" s="405">
        <f t="shared" si="33"/>
        <v>0</v>
      </c>
      <c r="AG16" s="405">
        <f t="shared" si="34"/>
        <v>0</v>
      </c>
      <c r="AH16" s="406">
        <f t="shared" si="35"/>
        <v>21.25</v>
      </c>
      <c r="AI16" s="406">
        <f t="shared" si="36"/>
        <v>0</v>
      </c>
      <c r="AJ16" s="406">
        <f t="shared" si="37"/>
        <v>0</v>
      </c>
      <c r="AK16" s="406">
        <f t="shared" si="38"/>
        <v>0</v>
      </c>
      <c r="AL16" s="406">
        <f t="shared" si="39"/>
        <v>0</v>
      </c>
      <c r="AM16" s="409">
        <f t="shared" si="40"/>
        <v>0</v>
      </c>
      <c r="AN16" s="410">
        <f t="shared" si="41"/>
        <v>0</v>
      </c>
      <c r="AO16" s="410">
        <f t="shared" si="42"/>
        <v>0</v>
      </c>
      <c r="AP16" s="411">
        <f t="shared" si="43"/>
        <v>0</v>
      </c>
      <c r="AQ16" s="410">
        <f t="shared" si="44"/>
        <v>0</v>
      </c>
      <c r="AR16" s="410">
        <f t="shared" si="45"/>
        <v>0</v>
      </c>
    </row>
    <row r="17" spans="1:44" s="64" customFormat="1" ht="15.75" customHeight="1" x14ac:dyDescent="0.25">
      <c r="A17" s="397" t="e">
        <f>IF(UC_DADOS!$B$2=0,"",UC_DADOS!$B$2)</f>
        <v>#N/A</v>
      </c>
      <c r="B17" s="398"/>
      <c r="C17" s="398"/>
      <c r="D17" s="398"/>
      <c r="E17" s="398"/>
      <c r="F17" s="398"/>
      <c r="G17" s="398"/>
      <c r="H17" s="398"/>
      <c r="I17" s="398"/>
      <c r="J17" s="399">
        <f t="shared" si="22"/>
        <v>0</v>
      </c>
      <c r="K17" s="400">
        <v>0.7</v>
      </c>
      <c r="L17" s="401">
        <f t="shared" si="23"/>
        <v>0</v>
      </c>
      <c r="M17" s="398"/>
      <c r="N17" s="402">
        <f t="shared" si="24"/>
        <v>0</v>
      </c>
      <c r="O17" s="403"/>
      <c r="P17" s="403"/>
      <c r="Q17" s="404">
        <v>21.25</v>
      </c>
      <c r="R17" s="403"/>
      <c r="S17" s="399">
        <f t="shared" si="25"/>
        <v>0</v>
      </c>
      <c r="T17" s="399">
        <f t="shared" si="26"/>
        <v>0</v>
      </c>
      <c r="U17" s="399">
        <f t="shared" si="27"/>
        <v>0</v>
      </c>
      <c r="V17" s="404">
        <f t="array" ref="V17">IF(F17="A",E17,IFERROR(INDEX('EQUIPAMENTOS_EFICIENTES (BDD)'!G:G,MATCH(1,('EQUIPAMENTOS_EFICIENTES (BDD)'!G:G=E17)*('EQUIPAMENTOS_EFICIENTES (BDD)'!I:I=_xlfn.MINIFS('EQUIPAMENTOS_EFICIENTES (BDD)'!I:I,'EQUIPAMENTOS_EFICIENTES (BDD)'!G:G,E17,'EQUIPAMENTOS_EFICIENTES (BDD)'!I:I,"&gt;="&amp;G17)),0)),"Substituição não encontrada"))</f>
        <v>0</v>
      </c>
      <c r="W17" s="404">
        <f t="array" ref="W17">IF(F17="A",F17,IFERROR(INDEX('EQUIPAMENTOS_EFICIENTES (BDD)'!H:H,MATCH(1,('EQUIPAMENTOS_EFICIENTES (BDD)'!G:G=E17)*('EQUIPAMENTOS_EFICIENTES (BDD)'!I:I=_xlfn.MINIFS('EQUIPAMENTOS_EFICIENTES (BDD)'!I:I,'EQUIPAMENTOS_EFICIENTES (BDD)'!G:G,E17,'EQUIPAMENTOS_EFICIENTES (BDD)'!I:I,"&gt;="&amp;G17)),0)),"Substituição não encontrada"))</f>
        <v>0</v>
      </c>
      <c r="X17" s="403">
        <f t="array" ref="X17">IF(F17="A",G17,IFERROR(INDEX('EQUIPAMENTOS_EFICIENTES (BDD)'!I:I,MATCH(1,('EQUIPAMENTOS_EFICIENTES (BDD)'!G:G=E17)*('EQUIPAMENTOS_EFICIENTES (BDD)'!I:I=_xlfn.MINIFS('EQUIPAMENTOS_EFICIENTES (BDD)'!I:I,'EQUIPAMENTOS_EFICIENTES (BDD)'!G:G,E17,'EQUIPAMENTOS_EFICIENTES (BDD)'!I:I,"&gt;="&amp;G17)),0)),"Substituição não encontrada"))</f>
        <v>0</v>
      </c>
      <c r="Y17" s="404">
        <f t="array" ref="Y17">IF(F17="A",H17,IFERROR(INDEX('EQUIPAMENTOS_EFICIENTES (BDD)'!J:J,MATCH(1,('EQUIPAMENTOS_EFICIENTES (BDD)'!G:G=E17)*('EQUIPAMENTOS_EFICIENTES (BDD)'!I:I=_xlfn.MINIFS('EQUIPAMENTOS_EFICIENTES (BDD)'!I:I,'EQUIPAMENTOS_EFICIENTES (BDD)'!G:G,E17,'EQUIPAMENTOS_EFICIENTES (BDD)'!I:I,"&gt;="&amp;G17)),0)),"Substituição não encontrada"))</f>
        <v>0</v>
      </c>
      <c r="Z17" s="404">
        <f t="array" ref="Z17">IFERROR(INDEX('EQUIPAMENTOS_EFICIENTES (BDD)'!K:K,MATCH(1,('EQUIPAMENTOS_EFICIENTES (BDD)'!G:G=E17)*('EQUIPAMENTOS_EFICIENTES (BDD)'!I:I=_xlfn.MINIFS('EQUIPAMENTOS_EFICIENTES (BDD)'!I:I,'EQUIPAMENTOS_EFICIENTES (BDD)'!G:G,E17,'EQUIPAMENTOS_EFICIENTES (BDD)'!I:I,"&gt;="&amp;G17)),0)),"")</f>
        <v>0</v>
      </c>
      <c r="AA17" s="405">
        <f t="shared" si="28"/>
        <v>0</v>
      </c>
      <c r="AB17" s="406">
        <f t="shared" si="29"/>
        <v>0</v>
      </c>
      <c r="AC17" s="407">
        <f t="shared" si="30"/>
        <v>0.7</v>
      </c>
      <c r="AD17" s="408">
        <f t="shared" si="31"/>
        <v>0</v>
      </c>
      <c r="AE17" s="408">
        <f t="shared" si="32"/>
        <v>0</v>
      </c>
      <c r="AF17" s="405">
        <f t="shared" si="33"/>
        <v>0</v>
      </c>
      <c r="AG17" s="405">
        <f t="shared" si="34"/>
        <v>0</v>
      </c>
      <c r="AH17" s="406">
        <f t="shared" si="35"/>
        <v>21.25</v>
      </c>
      <c r="AI17" s="406">
        <f t="shared" si="36"/>
        <v>0</v>
      </c>
      <c r="AJ17" s="406">
        <f t="shared" si="37"/>
        <v>0</v>
      </c>
      <c r="AK17" s="406">
        <f t="shared" si="38"/>
        <v>0</v>
      </c>
      <c r="AL17" s="406">
        <f t="shared" si="39"/>
        <v>0</v>
      </c>
      <c r="AM17" s="409">
        <f t="shared" si="40"/>
        <v>0</v>
      </c>
      <c r="AN17" s="410">
        <f t="shared" si="41"/>
        <v>0</v>
      </c>
      <c r="AO17" s="410">
        <f t="shared" si="42"/>
        <v>0</v>
      </c>
      <c r="AP17" s="411">
        <f t="shared" si="43"/>
        <v>0</v>
      </c>
      <c r="AQ17" s="410">
        <f t="shared" si="44"/>
        <v>0</v>
      </c>
      <c r="AR17" s="410">
        <f t="shared" si="45"/>
        <v>0</v>
      </c>
    </row>
    <row r="18" spans="1:44" s="64" customFormat="1" ht="15.75" customHeight="1" x14ac:dyDescent="0.25">
      <c r="A18" s="397" t="e">
        <f>IF(UC_DADOS!$B$2=0,"",UC_DADOS!$B$2)</f>
        <v>#N/A</v>
      </c>
      <c r="B18" s="398"/>
      <c r="C18" s="398"/>
      <c r="D18" s="398"/>
      <c r="E18" s="398"/>
      <c r="F18" s="398"/>
      <c r="G18" s="398"/>
      <c r="H18" s="398"/>
      <c r="I18" s="398"/>
      <c r="J18" s="399">
        <f t="shared" si="22"/>
        <v>0</v>
      </c>
      <c r="K18" s="400">
        <v>0.7</v>
      </c>
      <c r="L18" s="401">
        <f t="shared" si="23"/>
        <v>0</v>
      </c>
      <c r="M18" s="398"/>
      <c r="N18" s="402">
        <f t="shared" si="24"/>
        <v>0</v>
      </c>
      <c r="O18" s="403"/>
      <c r="P18" s="403"/>
      <c r="Q18" s="404">
        <v>21.25</v>
      </c>
      <c r="R18" s="403"/>
      <c r="S18" s="399">
        <f t="shared" si="25"/>
        <v>0</v>
      </c>
      <c r="T18" s="399">
        <f t="shared" si="26"/>
        <v>0</v>
      </c>
      <c r="U18" s="399">
        <f t="shared" si="27"/>
        <v>0</v>
      </c>
      <c r="V18" s="404">
        <f t="array" ref="V18">IF(F18="A",E18,IFERROR(INDEX('EQUIPAMENTOS_EFICIENTES (BDD)'!G:G,MATCH(1,('EQUIPAMENTOS_EFICIENTES (BDD)'!G:G=E18)*('EQUIPAMENTOS_EFICIENTES (BDD)'!I:I=_xlfn.MINIFS('EQUIPAMENTOS_EFICIENTES (BDD)'!I:I,'EQUIPAMENTOS_EFICIENTES (BDD)'!G:G,E18,'EQUIPAMENTOS_EFICIENTES (BDD)'!I:I,"&gt;="&amp;G18)),0)),"Substituição não encontrada"))</f>
        <v>0</v>
      </c>
      <c r="W18" s="404">
        <f t="array" ref="W18">IF(F18="A",F18,IFERROR(INDEX('EQUIPAMENTOS_EFICIENTES (BDD)'!H:H,MATCH(1,('EQUIPAMENTOS_EFICIENTES (BDD)'!G:G=E18)*('EQUIPAMENTOS_EFICIENTES (BDD)'!I:I=_xlfn.MINIFS('EQUIPAMENTOS_EFICIENTES (BDD)'!I:I,'EQUIPAMENTOS_EFICIENTES (BDD)'!G:G,E18,'EQUIPAMENTOS_EFICIENTES (BDD)'!I:I,"&gt;="&amp;G18)),0)),"Substituição não encontrada"))</f>
        <v>0</v>
      </c>
      <c r="X18" s="403">
        <f t="array" ref="X18">IF(F18="A",G18,IFERROR(INDEX('EQUIPAMENTOS_EFICIENTES (BDD)'!I:I,MATCH(1,('EQUIPAMENTOS_EFICIENTES (BDD)'!G:G=E18)*('EQUIPAMENTOS_EFICIENTES (BDD)'!I:I=_xlfn.MINIFS('EQUIPAMENTOS_EFICIENTES (BDD)'!I:I,'EQUIPAMENTOS_EFICIENTES (BDD)'!G:G,E18,'EQUIPAMENTOS_EFICIENTES (BDD)'!I:I,"&gt;="&amp;G18)),0)),"Substituição não encontrada"))</f>
        <v>0</v>
      </c>
      <c r="Y18" s="404">
        <f t="array" ref="Y18">IF(F18="A",H18,IFERROR(INDEX('EQUIPAMENTOS_EFICIENTES (BDD)'!J:J,MATCH(1,('EQUIPAMENTOS_EFICIENTES (BDD)'!G:G=E18)*('EQUIPAMENTOS_EFICIENTES (BDD)'!I:I=_xlfn.MINIFS('EQUIPAMENTOS_EFICIENTES (BDD)'!I:I,'EQUIPAMENTOS_EFICIENTES (BDD)'!G:G,E18,'EQUIPAMENTOS_EFICIENTES (BDD)'!I:I,"&gt;="&amp;G18)),0)),"Substituição não encontrada"))</f>
        <v>0</v>
      </c>
      <c r="Z18" s="404">
        <f t="array" ref="Z18">IFERROR(INDEX('EQUIPAMENTOS_EFICIENTES (BDD)'!K:K,MATCH(1,('EQUIPAMENTOS_EFICIENTES (BDD)'!G:G=E18)*('EQUIPAMENTOS_EFICIENTES (BDD)'!I:I=_xlfn.MINIFS('EQUIPAMENTOS_EFICIENTES (BDD)'!I:I,'EQUIPAMENTOS_EFICIENTES (BDD)'!G:G,E18,'EQUIPAMENTOS_EFICIENTES (BDD)'!I:I,"&gt;="&amp;G18)),0)),"")</f>
        <v>0</v>
      </c>
      <c r="AA18" s="405">
        <f t="shared" si="28"/>
        <v>0</v>
      </c>
      <c r="AB18" s="406">
        <f t="shared" si="29"/>
        <v>0</v>
      </c>
      <c r="AC18" s="407">
        <f t="shared" si="30"/>
        <v>0.7</v>
      </c>
      <c r="AD18" s="408">
        <f t="shared" si="31"/>
        <v>0</v>
      </c>
      <c r="AE18" s="408">
        <f t="shared" si="32"/>
        <v>0</v>
      </c>
      <c r="AF18" s="405">
        <f t="shared" si="33"/>
        <v>0</v>
      </c>
      <c r="AG18" s="405">
        <f t="shared" si="34"/>
        <v>0</v>
      </c>
      <c r="AH18" s="406">
        <f t="shared" si="35"/>
        <v>21.25</v>
      </c>
      <c r="AI18" s="406">
        <f t="shared" si="36"/>
        <v>0</v>
      </c>
      <c r="AJ18" s="406">
        <f t="shared" si="37"/>
        <v>0</v>
      </c>
      <c r="AK18" s="406">
        <f t="shared" si="38"/>
        <v>0</v>
      </c>
      <c r="AL18" s="406">
        <f t="shared" si="39"/>
        <v>0</v>
      </c>
      <c r="AM18" s="409">
        <f t="shared" si="40"/>
        <v>0</v>
      </c>
      <c r="AN18" s="410">
        <f t="shared" si="41"/>
        <v>0</v>
      </c>
      <c r="AO18" s="410">
        <f t="shared" si="42"/>
        <v>0</v>
      </c>
      <c r="AP18" s="411">
        <f t="shared" si="43"/>
        <v>0</v>
      </c>
      <c r="AQ18" s="410">
        <f t="shared" si="44"/>
        <v>0</v>
      </c>
      <c r="AR18" s="410">
        <f t="shared" si="45"/>
        <v>0</v>
      </c>
    </row>
    <row r="19" spans="1:44" s="64" customFormat="1" ht="15.75" customHeight="1" x14ac:dyDescent="0.25">
      <c r="A19" s="397" t="e">
        <f>IF(UC_DADOS!$B$2=0,"",UC_DADOS!$B$2)</f>
        <v>#N/A</v>
      </c>
      <c r="B19" s="398"/>
      <c r="C19" s="398"/>
      <c r="D19" s="398"/>
      <c r="E19" s="398"/>
      <c r="F19" s="398"/>
      <c r="G19" s="398"/>
      <c r="H19" s="398"/>
      <c r="I19" s="398"/>
      <c r="J19" s="399">
        <f t="shared" si="22"/>
        <v>0</v>
      </c>
      <c r="K19" s="400">
        <v>0.7</v>
      </c>
      <c r="L19" s="401">
        <f t="shared" si="23"/>
        <v>0</v>
      </c>
      <c r="M19" s="398"/>
      <c r="N19" s="402">
        <f t="shared" si="24"/>
        <v>0</v>
      </c>
      <c r="O19" s="403"/>
      <c r="P19" s="403"/>
      <c r="Q19" s="404">
        <v>21.25</v>
      </c>
      <c r="R19" s="403"/>
      <c r="S19" s="399">
        <f t="shared" si="25"/>
        <v>0</v>
      </c>
      <c r="T19" s="399">
        <f t="shared" si="26"/>
        <v>0</v>
      </c>
      <c r="U19" s="399">
        <f t="shared" si="27"/>
        <v>0</v>
      </c>
      <c r="V19" s="404">
        <f t="array" ref="V19">IF(F19="A",E19,IFERROR(INDEX('EQUIPAMENTOS_EFICIENTES (BDD)'!G:G,MATCH(1,('EQUIPAMENTOS_EFICIENTES (BDD)'!G:G=E19)*('EQUIPAMENTOS_EFICIENTES (BDD)'!I:I=_xlfn.MINIFS('EQUIPAMENTOS_EFICIENTES (BDD)'!I:I,'EQUIPAMENTOS_EFICIENTES (BDD)'!G:G,E19,'EQUIPAMENTOS_EFICIENTES (BDD)'!I:I,"&gt;="&amp;G19)),0)),"Substituição não encontrada"))</f>
        <v>0</v>
      </c>
      <c r="W19" s="404">
        <f t="array" ref="W19">IF(F19="A",F19,IFERROR(INDEX('EQUIPAMENTOS_EFICIENTES (BDD)'!H:H,MATCH(1,('EQUIPAMENTOS_EFICIENTES (BDD)'!G:G=E19)*('EQUIPAMENTOS_EFICIENTES (BDD)'!I:I=_xlfn.MINIFS('EQUIPAMENTOS_EFICIENTES (BDD)'!I:I,'EQUIPAMENTOS_EFICIENTES (BDD)'!G:G,E19,'EQUIPAMENTOS_EFICIENTES (BDD)'!I:I,"&gt;="&amp;G19)),0)),"Substituição não encontrada"))</f>
        <v>0</v>
      </c>
      <c r="X19" s="403">
        <f t="array" ref="X19">IF(F19="A",G19,IFERROR(INDEX('EQUIPAMENTOS_EFICIENTES (BDD)'!I:I,MATCH(1,('EQUIPAMENTOS_EFICIENTES (BDD)'!G:G=E19)*('EQUIPAMENTOS_EFICIENTES (BDD)'!I:I=_xlfn.MINIFS('EQUIPAMENTOS_EFICIENTES (BDD)'!I:I,'EQUIPAMENTOS_EFICIENTES (BDD)'!G:G,E19,'EQUIPAMENTOS_EFICIENTES (BDD)'!I:I,"&gt;="&amp;G19)),0)),"Substituição não encontrada"))</f>
        <v>0</v>
      </c>
      <c r="Y19" s="404">
        <f t="array" ref="Y19">IF(F19="A",H19,IFERROR(INDEX('EQUIPAMENTOS_EFICIENTES (BDD)'!J:J,MATCH(1,('EQUIPAMENTOS_EFICIENTES (BDD)'!G:G=E19)*('EQUIPAMENTOS_EFICIENTES (BDD)'!I:I=_xlfn.MINIFS('EQUIPAMENTOS_EFICIENTES (BDD)'!I:I,'EQUIPAMENTOS_EFICIENTES (BDD)'!G:G,E19,'EQUIPAMENTOS_EFICIENTES (BDD)'!I:I,"&gt;="&amp;G19)),0)),"Substituição não encontrada"))</f>
        <v>0</v>
      </c>
      <c r="Z19" s="404">
        <f t="array" ref="Z19">IFERROR(INDEX('EQUIPAMENTOS_EFICIENTES (BDD)'!K:K,MATCH(1,('EQUIPAMENTOS_EFICIENTES (BDD)'!G:G=E19)*('EQUIPAMENTOS_EFICIENTES (BDD)'!I:I=_xlfn.MINIFS('EQUIPAMENTOS_EFICIENTES (BDD)'!I:I,'EQUIPAMENTOS_EFICIENTES (BDD)'!G:G,E19,'EQUIPAMENTOS_EFICIENTES (BDD)'!I:I,"&gt;="&amp;G19)),0)),"")</f>
        <v>0</v>
      </c>
      <c r="AA19" s="405">
        <f t="shared" si="28"/>
        <v>0</v>
      </c>
      <c r="AB19" s="406">
        <f t="shared" si="29"/>
        <v>0</v>
      </c>
      <c r="AC19" s="407">
        <f t="shared" si="30"/>
        <v>0.7</v>
      </c>
      <c r="AD19" s="408">
        <f t="shared" si="31"/>
        <v>0</v>
      </c>
      <c r="AE19" s="408">
        <f t="shared" si="32"/>
        <v>0</v>
      </c>
      <c r="AF19" s="405">
        <f t="shared" si="33"/>
        <v>0</v>
      </c>
      <c r="AG19" s="405">
        <f t="shared" si="34"/>
        <v>0</v>
      </c>
      <c r="AH19" s="406">
        <f t="shared" si="35"/>
        <v>21.25</v>
      </c>
      <c r="AI19" s="406">
        <f t="shared" si="36"/>
        <v>0</v>
      </c>
      <c r="AJ19" s="406">
        <f t="shared" si="37"/>
        <v>0</v>
      </c>
      <c r="AK19" s="406">
        <f t="shared" si="38"/>
        <v>0</v>
      </c>
      <c r="AL19" s="406">
        <f t="shared" si="39"/>
        <v>0</v>
      </c>
      <c r="AM19" s="409">
        <f t="shared" si="40"/>
        <v>0</v>
      </c>
      <c r="AN19" s="410">
        <f t="shared" si="41"/>
        <v>0</v>
      </c>
      <c r="AO19" s="410">
        <f t="shared" si="42"/>
        <v>0</v>
      </c>
      <c r="AP19" s="411">
        <f t="shared" si="43"/>
        <v>0</v>
      </c>
      <c r="AQ19" s="410">
        <f t="shared" si="44"/>
        <v>0</v>
      </c>
      <c r="AR19" s="410">
        <f t="shared" si="45"/>
        <v>0</v>
      </c>
    </row>
    <row r="20" spans="1:44" s="64" customFormat="1" ht="15.75" customHeight="1" x14ac:dyDescent="0.25">
      <c r="A20" s="397" t="e">
        <f>IF(UC_DADOS!$B$2=0,"",UC_DADOS!$B$2)</f>
        <v>#N/A</v>
      </c>
      <c r="B20" s="398"/>
      <c r="C20" s="398"/>
      <c r="D20" s="398"/>
      <c r="E20" s="398"/>
      <c r="F20" s="398"/>
      <c r="G20" s="398"/>
      <c r="H20" s="398"/>
      <c r="I20" s="398"/>
      <c r="J20" s="399">
        <f t="shared" si="22"/>
        <v>0</v>
      </c>
      <c r="K20" s="400">
        <v>0.7</v>
      </c>
      <c r="L20" s="401">
        <f t="shared" si="23"/>
        <v>0</v>
      </c>
      <c r="M20" s="398"/>
      <c r="N20" s="402">
        <f t="shared" si="24"/>
        <v>0</v>
      </c>
      <c r="O20" s="403"/>
      <c r="P20" s="403"/>
      <c r="Q20" s="404">
        <v>21.25</v>
      </c>
      <c r="R20" s="403"/>
      <c r="S20" s="399">
        <f t="shared" si="25"/>
        <v>0</v>
      </c>
      <c r="T20" s="399">
        <f t="shared" si="26"/>
        <v>0</v>
      </c>
      <c r="U20" s="399">
        <f t="shared" si="27"/>
        <v>0</v>
      </c>
      <c r="V20" s="404">
        <f t="array" ref="V20">IF(F20="A",E20,IFERROR(INDEX('EQUIPAMENTOS_EFICIENTES (BDD)'!G:G,MATCH(1,('EQUIPAMENTOS_EFICIENTES (BDD)'!G:G=E20)*('EQUIPAMENTOS_EFICIENTES (BDD)'!I:I=_xlfn.MINIFS('EQUIPAMENTOS_EFICIENTES (BDD)'!I:I,'EQUIPAMENTOS_EFICIENTES (BDD)'!G:G,E20,'EQUIPAMENTOS_EFICIENTES (BDD)'!I:I,"&gt;="&amp;G20)),0)),"Substituição não encontrada"))</f>
        <v>0</v>
      </c>
      <c r="W20" s="404">
        <f t="array" ref="W20">IF(F20="A",F20,IFERROR(INDEX('EQUIPAMENTOS_EFICIENTES (BDD)'!H:H,MATCH(1,('EQUIPAMENTOS_EFICIENTES (BDD)'!G:G=E20)*('EQUIPAMENTOS_EFICIENTES (BDD)'!I:I=_xlfn.MINIFS('EQUIPAMENTOS_EFICIENTES (BDD)'!I:I,'EQUIPAMENTOS_EFICIENTES (BDD)'!G:G,E20,'EQUIPAMENTOS_EFICIENTES (BDD)'!I:I,"&gt;="&amp;G20)),0)),"Substituição não encontrada"))</f>
        <v>0</v>
      </c>
      <c r="X20" s="403">
        <f t="array" ref="X20">IF(F20="A",G20,IFERROR(INDEX('EQUIPAMENTOS_EFICIENTES (BDD)'!I:I,MATCH(1,('EQUIPAMENTOS_EFICIENTES (BDD)'!G:G=E20)*('EQUIPAMENTOS_EFICIENTES (BDD)'!I:I=_xlfn.MINIFS('EQUIPAMENTOS_EFICIENTES (BDD)'!I:I,'EQUIPAMENTOS_EFICIENTES (BDD)'!G:G,E20,'EQUIPAMENTOS_EFICIENTES (BDD)'!I:I,"&gt;="&amp;G20)),0)),"Substituição não encontrada"))</f>
        <v>0</v>
      </c>
      <c r="Y20" s="404">
        <f t="array" ref="Y20">IF(F20="A",H20,IFERROR(INDEX('EQUIPAMENTOS_EFICIENTES (BDD)'!J:J,MATCH(1,('EQUIPAMENTOS_EFICIENTES (BDD)'!G:G=E20)*('EQUIPAMENTOS_EFICIENTES (BDD)'!I:I=_xlfn.MINIFS('EQUIPAMENTOS_EFICIENTES (BDD)'!I:I,'EQUIPAMENTOS_EFICIENTES (BDD)'!G:G,E20,'EQUIPAMENTOS_EFICIENTES (BDD)'!I:I,"&gt;="&amp;G20)),0)),"Substituição não encontrada"))</f>
        <v>0</v>
      </c>
      <c r="Z20" s="404">
        <f t="array" ref="Z20">IFERROR(INDEX('EQUIPAMENTOS_EFICIENTES (BDD)'!K:K,MATCH(1,('EQUIPAMENTOS_EFICIENTES (BDD)'!G:G=E20)*('EQUIPAMENTOS_EFICIENTES (BDD)'!I:I=_xlfn.MINIFS('EQUIPAMENTOS_EFICIENTES (BDD)'!I:I,'EQUIPAMENTOS_EFICIENTES (BDD)'!G:G,E20,'EQUIPAMENTOS_EFICIENTES (BDD)'!I:I,"&gt;="&amp;G20)),0)),"")</f>
        <v>0</v>
      </c>
      <c r="AA20" s="405">
        <f t="shared" si="28"/>
        <v>0</v>
      </c>
      <c r="AB20" s="406">
        <f t="shared" si="29"/>
        <v>0</v>
      </c>
      <c r="AC20" s="407">
        <f t="shared" si="30"/>
        <v>0.7</v>
      </c>
      <c r="AD20" s="408">
        <f t="shared" si="31"/>
        <v>0</v>
      </c>
      <c r="AE20" s="408">
        <f t="shared" si="32"/>
        <v>0</v>
      </c>
      <c r="AF20" s="405">
        <f t="shared" si="33"/>
        <v>0</v>
      </c>
      <c r="AG20" s="405">
        <f t="shared" si="34"/>
        <v>0</v>
      </c>
      <c r="AH20" s="406">
        <f t="shared" si="35"/>
        <v>21.25</v>
      </c>
      <c r="AI20" s="406">
        <f t="shared" si="36"/>
        <v>0</v>
      </c>
      <c r="AJ20" s="406">
        <f t="shared" si="37"/>
        <v>0</v>
      </c>
      <c r="AK20" s="406">
        <f t="shared" si="38"/>
        <v>0</v>
      </c>
      <c r="AL20" s="406">
        <f t="shared" si="39"/>
        <v>0</v>
      </c>
      <c r="AM20" s="409">
        <f t="shared" si="40"/>
        <v>0</v>
      </c>
      <c r="AN20" s="410">
        <f t="shared" si="41"/>
        <v>0</v>
      </c>
      <c r="AO20" s="410">
        <f t="shared" si="42"/>
        <v>0</v>
      </c>
      <c r="AP20" s="411">
        <f t="shared" si="43"/>
        <v>0</v>
      </c>
      <c r="AQ20" s="410">
        <f t="shared" si="44"/>
        <v>0</v>
      </c>
      <c r="AR20" s="410">
        <f t="shared" si="45"/>
        <v>0</v>
      </c>
    </row>
    <row r="21" spans="1:44" s="64" customFormat="1" ht="15.75" customHeight="1" x14ac:dyDescent="0.25">
      <c r="A21" s="397" t="e">
        <f>IF(UC_DADOS!$B$2=0,"",UC_DADOS!$B$2)</f>
        <v>#N/A</v>
      </c>
      <c r="B21" s="398"/>
      <c r="C21" s="398"/>
      <c r="D21" s="398"/>
      <c r="E21" s="398"/>
      <c r="F21" s="398"/>
      <c r="G21" s="398"/>
      <c r="H21" s="398"/>
      <c r="I21" s="398"/>
      <c r="J21" s="399">
        <f t="shared" si="22"/>
        <v>0</v>
      </c>
      <c r="K21" s="400">
        <v>0.7</v>
      </c>
      <c r="L21" s="401">
        <f t="shared" si="23"/>
        <v>0</v>
      </c>
      <c r="M21" s="398"/>
      <c r="N21" s="402">
        <f t="shared" si="24"/>
        <v>0</v>
      </c>
      <c r="O21" s="403"/>
      <c r="P21" s="403"/>
      <c r="Q21" s="404">
        <v>21.25</v>
      </c>
      <c r="R21" s="403"/>
      <c r="S21" s="399">
        <f t="shared" si="25"/>
        <v>0</v>
      </c>
      <c r="T21" s="399">
        <f t="shared" si="26"/>
        <v>0</v>
      </c>
      <c r="U21" s="399">
        <f t="shared" si="27"/>
        <v>0</v>
      </c>
      <c r="V21" s="404">
        <f t="array" ref="V21">IF(F21="A",E21,IFERROR(INDEX('EQUIPAMENTOS_EFICIENTES (BDD)'!G:G,MATCH(1,('EQUIPAMENTOS_EFICIENTES (BDD)'!G:G=E21)*('EQUIPAMENTOS_EFICIENTES (BDD)'!I:I=_xlfn.MINIFS('EQUIPAMENTOS_EFICIENTES (BDD)'!I:I,'EQUIPAMENTOS_EFICIENTES (BDD)'!G:G,E21,'EQUIPAMENTOS_EFICIENTES (BDD)'!I:I,"&gt;="&amp;G21)),0)),"Substituição não encontrada"))</f>
        <v>0</v>
      </c>
      <c r="W21" s="404">
        <f t="array" ref="W21">IF(F21="A",F21,IFERROR(INDEX('EQUIPAMENTOS_EFICIENTES (BDD)'!H:H,MATCH(1,('EQUIPAMENTOS_EFICIENTES (BDD)'!G:G=E21)*('EQUIPAMENTOS_EFICIENTES (BDD)'!I:I=_xlfn.MINIFS('EQUIPAMENTOS_EFICIENTES (BDD)'!I:I,'EQUIPAMENTOS_EFICIENTES (BDD)'!G:G,E21,'EQUIPAMENTOS_EFICIENTES (BDD)'!I:I,"&gt;="&amp;G21)),0)),"Substituição não encontrada"))</f>
        <v>0</v>
      </c>
      <c r="X21" s="403">
        <f t="array" ref="X21">IF(F21="A",G21,IFERROR(INDEX('EQUIPAMENTOS_EFICIENTES (BDD)'!I:I,MATCH(1,('EQUIPAMENTOS_EFICIENTES (BDD)'!G:G=E21)*('EQUIPAMENTOS_EFICIENTES (BDD)'!I:I=_xlfn.MINIFS('EQUIPAMENTOS_EFICIENTES (BDD)'!I:I,'EQUIPAMENTOS_EFICIENTES (BDD)'!G:G,E21,'EQUIPAMENTOS_EFICIENTES (BDD)'!I:I,"&gt;="&amp;G21)),0)),"Substituição não encontrada"))</f>
        <v>0</v>
      </c>
      <c r="Y21" s="404">
        <f t="array" ref="Y21">IF(F21="A",H21,IFERROR(INDEX('EQUIPAMENTOS_EFICIENTES (BDD)'!J:J,MATCH(1,('EQUIPAMENTOS_EFICIENTES (BDD)'!G:G=E21)*('EQUIPAMENTOS_EFICIENTES (BDD)'!I:I=_xlfn.MINIFS('EQUIPAMENTOS_EFICIENTES (BDD)'!I:I,'EQUIPAMENTOS_EFICIENTES (BDD)'!G:G,E21,'EQUIPAMENTOS_EFICIENTES (BDD)'!I:I,"&gt;="&amp;G21)),0)),"Substituição não encontrada"))</f>
        <v>0</v>
      </c>
      <c r="Z21" s="404">
        <f t="array" ref="Z21">IFERROR(INDEX('EQUIPAMENTOS_EFICIENTES (BDD)'!K:K,MATCH(1,('EQUIPAMENTOS_EFICIENTES (BDD)'!G:G=E21)*('EQUIPAMENTOS_EFICIENTES (BDD)'!I:I=_xlfn.MINIFS('EQUIPAMENTOS_EFICIENTES (BDD)'!I:I,'EQUIPAMENTOS_EFICIENTES (BDD)'!G:G,E21,'EQUIPAMENTOS_EFICIENTES (BDD)'!I:I,"&gt;="&amp;G21)),0)),"")</f>
        <v>0</v>
      </c>
      <c r="AA21" s="405">
        <f t="shared" si="28"/>
        <v>0</v>
      </c>
      <c r="AB21" s="406">
        <f t="shared" si="29"/>
        <v>0</v>
      </c>
      <c r="AC21" s="407">
        <f t="shared" si="30"/>
        <v>0.7</v>
      </c>
      <c r="AD21" s="408">
        <f t="shared" si="31"/>
        <v>0</v>
      </c>
      <c r="AE21" s="408">
        <f t="shared" si="32"/>
        <v>0</v>
      </c>
      <c r="AF21" s="405">
        <f t="shared" si="33"/>
        <v>0</v>
      </c>
      <c r="AG21" s="405">
        <f t="shared" si="34"/>
        <v>0</v>
      </c>
      <c r="AH21" s="406">
        <f t="shared" si="35"/>
        <v>21.25</v>
      </c>
      <c r="AI21" s="406">
        <f t="shared" si="36"/>
        <v>0</v>
      </c>
      <c r="AJ21" s="406">
        <f t="shared" si="37"/>
        <v>0</v>
      </c>
      <c r="AK21" s="406">
        <f t="shared" si="38"/>
        <v>0</v>
      </c>
      <c r="AL21" s="406">
        <f t="shared" si="39"/>
        <v>0</v>
      </c>
      <c r="AM21" s="409">
        <f t="shared" si="40"/>
        <v>0</v>
      </c>
      <c r="AN21" s="410">
        <f t="shared" si="41"/>
        <v>0</v>
      </c>
      <c r="AO21" s="410">
        <f t="shared" si="42"/>
        <v>0</v>
      </c>
      <c r="AP21" s="411">
        <f t="shared" si="43"/>
        <v>0</v>
      </c>
      <c r="AQ21" s="410">
        <f t="shared" si="44"/>
        <v>0</v>
      </c>
      <c r="AR21" s="410">
        <f t="shared" si="45"/>
        <v>0</v>
      </c>
    </row>
    <row r="22" spans="1:44" s="64" customFormat="1" ht="15.75" customHeight="1" x14ac:dyDescent="0.25">
      <c r="A22" s="397" t="e">
        <f>IF(UC_DADOS!$B$2=0,"",UC_DADOS!$B$2)</f>
        <v>#N/A</v>
      </c>
      <c r="B22" s="398"/>
      <c r="C22" s="398"/>
      <c r="D22" s="398"/>
      <c r="E22" s="398"/>
      <c r="F22" s="398"/>
      <c r="G22" s="398"/>
      <c r="H22" s="398"/>
      <c r="I22" s="398"/>
      <c r="J22" s="399">
        <f t="shared" si="22"/>
        <v>0</v>
      </c>
      <c r="K22" s="400">
        <v>0.7</v>
      </c>
      <c r="L22" s="401">
        <f t="shared" si="23"/>
        <v>0</v>
      </c>
      <c r="M22" s="398"/>
      <c r="N22" s="402">
        <f t="shared" si="24"/>
        <v>0</v>
      </c>
      <c r="O22" s="403"/>
      <c r="P22" s="403"/>
      <c r="Q22" s="404">
        <v>21.25</v>
      </c>
      <c r="R22" s="403"/>
      <c r="S22" s="399">
        <f t="shared" si="25"/>
        <v>0</v>
      </c>
      <c r="T22" s="399">
        <f t="shared" si="26"/>
        <v>0</v>
      </c>
      <c r="U22" s="399">
        <f t="shared" si="27"/>
        <v>0</v>
      </c>
      <c r="V22" s="404">
        <f t="array" ref="V22">IF(F22="A",E22,IFERROR(INDEX('EQUIPAMENTOS_EFICIENTES (BDD)'!G:G,MATCH(1,('EQUIPAMENTOS_EFICIENTES (BDD)'!G:G=E22)*('EQUIPAMENTOS_EFICIENTES (BDD)'!I:I=_xlfn.MINIFS('EQUIPAMENTOS_EFICIENTES (BDD)'!I:I,'EQUIPAMENTOS_EFICIENTES (BDD)'!G:G,E22,'EQUIPAMENTOS_EFICIENTES (BDD)'!I:I,"&gt;="&amp;G22)),0)),"Substituição não encontrada"))</f>
        <v>0</v>
      </c>
      <c r="W22" s="404">
        <f t="array" ref="W22">IF(F22="A",F22,IFERROR(INDEX('EQUIPAMENTOS_EFICIENTES (BDD)'!H:H,MATCH(1,('EQUIPAMENTOS_EFICIENTES (BDD)'!G:G=E22)*('EQUIPAMENTOS_EFICIENTES (BDD)'!I:I=_xlfn.MINIFS('EQUIPAMENTOS_EFICIENTES (BDD)'!I:I,'EQUIPAMENTOS_EFICIENTES (BDD)'!G:G,E22,'EQUIPAMENTOS_EFICIENTES (BDD)'!I:I,"&gt;="&amp;G22)),0)),"Substituição não encontrada"))</f>
        <v>0</v>
      </c>
      <c r="X22" s="403">
        <f t="array" ref="X22">IF(F22="A",G22,IFERROR(INDEX('EQUIPAMENTOS_EFICIENTES (BDD)'!I:I,MATCH(1,('EQUIPAMENTOS_EFICIENTES (BDD)'!G:G=E22)*('EQUIPAMENTOS_EFICIENTES (BDD)'!I:I=_xlfn.MINIFS('EQUIPAMENTOS_EFICIENTES (BDD)'!I:I,'EQUIPAMENTOS_EFICIENTES (BDD)'!G:G,E22,'EQUIPAMENTOS_EFICIENTES (BDD)'!I:I,"&gt;="&amp;G22)),0)),"Substituição não encontrada"))</f>
        <v>0</v>
      </c>
      <c r="Y22" s="404">
        <f t="array" ref="Y22">IF(F22="A",H22,IFERROR(INDEX('EQUIPAMENTOS_EFICIENTES (BDD)'!J:J,MATCH(1,('EQUIPAMENTOS_EFICIENTES (BDD)'!G:G=E22)*('EQUIPAMENTOS_EFICIENTES (BDD)'!I:I=_xlfn.MINIFS('EQUIPAMENTOS_EFICIENTES (BDD)'!I:I,'EQUIPAMENTOS_EFICIENTES (BDD)'!G:G,E22,'EQUIPAMENTOS_EFICIENTES (BDD)'!I:I,"&gt;="&amp;G22)),0)),"Substituição não encontrada"))</f>
        <v>0</v>
      </c>
      <c r="Z22" s="404">
        <f t="array" ref="Z22">IFERROR(INDEX('EQUIPAMENTOS_EFICIENTES (BDD)'!K:K,MATCH(1,('EQUIPAMENTOS_EFICIENTES (BDD)'!G:G=E22)*('EQUIPAMENTOS_EFICIENTES (BDD)'!I:I=_xlfn.MINIFS('EQUIPAMENTOS_EFICIENTES (BDD)'!I:I,'EQUIPAMENTOS_EFICIENTES (BDD)'!G:G,E22,'EQUIPAMENTOS_EFICIENTES (BDD)'!I:I,"&gt;="&amp;G22)),0)),"")</f>
        <v>0</v>
      </c>
      <c r="AA22" s="405">
        <f t="shared" si="28"/>
        <v>0</v>
      </c>
      <c r="AB22" s="406">
        <f t="shared" si="29"/>
        <v>0</v>
      </c>
      <c r="AC22" s="407">
        <f t="shared" si="30"/>
        <v>0.7</v>
      </c>
      <c r="AD22" s="408">
        <f t="shared" si="31"/>
        <v>0</v>
      </c>
      <c r="AE22" s="408">
        <f t="shared" si="32"/>
        <v>0</v>
      </c>
      <c r="AF22" s="405">
        <f t="shared" si="33"/>
        <v>0</v>
      </c>
      <c r="AG22" s="405">
        <f t="shared" si="34"/>
        <v>0</v>
      </c>
      <c r="AH22" s="406">
        <f t="shared" si="35"/>
        <v>21.25</v>
      </c>
      <c r="AI22" s="406">
        <f t="shared" si="36"/>
        <v>0</v>
      </c>
      <c r="AJ22" s="406">
        <f t="shared" si="37"/>
        <v>0</v>
      </c>
      <c r="AK22" s="406">
        <f t="shared" si="38"/>
        <v>0</v>
      </c>
      <c r="AL22" s="406">
        <f t="shared" si="39"/>
        <v>0</v>
      </c>
      <c r="AM22" s="409">
        <f t="shared" si="40"/>
        <v>0</v>
      </c>
      <c r="AN22" s="410">
        <f t="shared" si="41"/>
        <v>0</v>
      </c>
      <c r="AO22" s="410">
        <f t="shared" si="42"/>
        <v>0</v>
      </c>
      <c r="AP22" s="411">
        <f t="shared" si="43"/>
        <v>0</v>
      </c>
      <c r="AQ22" s="410">
        <f t="shared" si="44"/>
        <v>0</v>
      </c>
      <c r="AR22" s="410">
        <f t="shared" si="45"/>
        <v>0</v>
      </c>
    </row>
    <row r="23" spans="1:44" s="64" customFormat="1" ht="15.75" customHeight="1" x14ac:dyDescent="0.25">
      <c r="A23" s="397" t="e">
        <f>IF(UC_DADOS!$B$2=0,"",UC_DADOS!$B$2)</f>
        <v>#N/A</v>
      </c>
      <c r="B23" s="398"/>
      <c r="C23" s="398"/>
      <c r="D23" s="398"/>
      <c r="E23" s="398"/>
      <c r="F23" s="398"/>
      <c r="G23" s="398"/>
      <c r="H23" s="398"/>
      <c r="I23" s="398"/>
      <c r="J23" s="399">
        <f t="shared" si="22"/>
        <v>0</v>
      </c>
      <c r="K23" s="400">
        <v>0.7</v>
      </c>
      <c r="L23" s="401">
        <f t="shared" si="23"/>
        <v>0</v>
      </c>
      <c r="M23" s="398"/>
      <c r="N23" s="402">
        <f t="shared" si="24"/>
        <v>0</v>
      </c>
      <c r="O23" s="403"/>
      <c r="P23" s="403"/>
      <c r="Q23" s="404">
        <v>21.25</v>
      </c>
      <c r="R23" s="403"/>
      <c r="S23" s="399">
        <f t="shared" si="25"/>
        <v>0</v>
      </c>
      <c r="T23" s="399">
        <f t="shared" si="26"/>
        <v>0</v>
      </c>
      <c r="U23" s="399">
        <f t="shared" si="27"/>
        <v>0</v>
      </c>
      <c r="V23" s="404">
        <f t="array" ref="V23">IF(F23="A",E23,IFERROR(INDEX('EQUIPAMENTOS_EFICIENTES (BDD)'!G:G,MATCH(1,('EQUIPAMENTOS_EFICIENTES (BDD)'!G:G=E23)*('EQUIPAMENTOS_EFICIENTES (BDD)'!I:I=_xlfn.MINIFS('EQUIPAMENTOS_EFICIENTES (BDD)'!I:I,'EQUIPAMENTOS_EFICIENTES (BDD)'!G:G,E23,'EQUIPAMENTOS_EFICIENTES (BDD)'!I:I,"&gt;="&amp;G23)),0)),"Substituição não encontrada"))</f>
        <v>0</v>
      </c>
      <c r="W23" s="404">
        <f t="array" ref="W23">IF(F23="A",F23,IFERROR(INDEX('EQUIPAMENTOS_EFICIENTES (BDD)'!H:H,MATCH(1,('EQUIPAMENTOS_EFICIENTES (BDD)'!G:G=E23)*('EQUIPAMENTOS_EFICIENTES (BDD)'!I:I=_xlfn.MINIFS('EQUIPAMENTOS_EFICIENTES (BDD)'!I:I,'EQUIPAMENTOS_EFICIENTES (BDD)'!G:G,E23,'EQUIPAMENTOS_EFICIENTES (BDD)'!I:I,"&gt;="&amp;G23)),0)),"Substituição não encontrada"))</f>
        <v>0</v>
      </c>
      <c r="X23" s="403">
        <f t="array" ref="X23">IF(F23="A",G23,IFERROR(INDEX('EQUIPAMENTOS_EFICIENTES (BDD)'!I:I,MATCH(1,('EQUIPAMENTOS_EFICIENTES (BDD)'!G:G=E23)*('EQUIPAMENTOS_EFICIENTES (BDD)'!I:I=_xlfn.MINIFS('EQUIPAMENTOS_EFICIENTES (BDD)'!I:I,'EQUIPAMENTOS_EFICIENTES (BDD)'!G:G,E23,'EQUIPAMENTOS_EFICIENTES (BDD)'!I:I,"&gt;="&amp;G23)),0)),"Substituição não encontrada"))</f>
        <v>0</v>
      </c>
      <c r="Y23" s="404">
        <f t="array" ref="Y23">IF(F23="A",H23,IFERROR(INDEX('EQUIPAMENTOS_EFICIENTES (BDD)'!J:J,MATCH(1,('EQUIPAMENTOS_EFICIENTES (BDD)'!G:G=E23)*('EQUIPAMENTOS_EFICIENTES (BDD)'!I:I=_xlfn.MINIFS('EQUIPAMENTOS_EFICIENTES (BDD)'!I:I,'EQUIPAMENTOS_EFICIENTES (BDD)'!G:G,E23,'EQUIPAMENTOS_EFICIENTES (BDD)'!I:I,"&gt;="&amp;G23)),0)),"Substituição não encontrada"))</f>
        <v>0</v>
      </c>
      <c r="Z23" s="404">
        <f t="array" ref="Z23">IFERROR(INDEX('EQUIPAMENTOS_EFICIENTES (BDD)'!K:K,MATCH(1,('EQUIPAMENTOS_EFICIENTES (BDD)'!G:G=E23)*('EQUIPAMENTOS_EFICIENTES (BDD)'!I:I=_xlfn.MINIFS('EQUIPAMENTOS_EFICIENTES (BDD)'!I:I,'EQUIPAMENTOS_EFICIENTES (BDD)'!G:G,E23,'EQUIPAMENTOS_EFICIENTES (BDD)'!I:I,"&gt;="&amp;G23)),0)),"")</f>
        <v>0</v>
      </c>
      <c r="AA23" s="405">
        <f t="shared" si="28"/>
        <v>0</v>
      </c>
      <c r="AB23" s="406">
        <f t="shared" si="29"/>
        <v>0</v>
      </c>
      <c r="AC23" s="407">
        <f t="shared" si="30"/>
        <v>0.7</v>
      </c>
      <c r="AD23" s="408">
        <f t="shared" si="31"/>
        <v>0</v>
      </c>
      <c r="AE23" s="408">
        <f t="shared" si="32"/>
        <v>0</v>
      </c>
      <c r="AF23" s="405">
        <f t="shared" si="33"/>
        <v>0</v>
      </c>
      <c r="AG23" s="405">
        <f t="shared" si="34"/>
        <v>0</v>
      </c>
      <c r="AH23" s="406">
        <f t="shared" si="35"/>
        <v>21.25</v>
      </c>
      <c r="AI23" s="406">
        <f t="shared" si="36"/>
        <v>0</v>
      </c>
      <c r="AJ23" s="406">
        <f t="shared" si="37"/>
        <v>0</v>
      </c>
      <c r="AK23" s="406">
        <f t="shared" si="38"/>
        <v>0</v>
      </c>
      <c r="AL23" s="406">
        <f t="shared" si="39"/>
        <v>0</v>
      </c>
      <c r="AM23" s="409">
        <f t="shared" si="40"/>
        <v>0</v>
      </c>
      <c r="AN23" s="410">
        <f t="shared" si="41"/>
        <v>0</v>
      </c>
      <c r="AO23" s="410">
        <f t="shared" si="42"/>
        <v>0</v>
      </c>
      <c r="AP23" s="411">
        <f t="shared" si="43"/>
        <v>0</v>
      </c>
      <c r="AQ23" s="410">
        <f t="shared" si="44"/>
        <v>0</v>
      </c>
      <c r="AR23" s="410">
        <f t="shared" si="45"/>
        <v>0</v>
      </c>
    </row>
    <row r="24" spans="1:44" s="64" customFormat="1" ht="15.75" customHeight="1" x14ac:dyDescent="0.25">
      <c r="A24" s="397" t="e">
        <f>IF(UC_DADOS!$B$2=0,"",UC_DADOS!$B$2)</f>
        <v>#N/A</v>
      </c>
      <c r="B24" s="398"/>
      <c r="C24" s="398"/>
      <c r="D24" s="398"/>
      <c r="E24" s="398"/>
      <c r="F24" s="398"/>
      <c r="G24" s="398"/>
      <c r="H24" s="398"/>
      <c r="I24" s="398"/>
      <c r="J24" s="399">
        <f t="shared" si="22"/>
        <v>0</v>
      </c>
      <c r="K24" s="400">
        <v>0.7</v>
      </c>
      <c r="L24" s="401">
        <f t="shared" si="23"/>
        <v>0</v>
      </c>
      <c r="M24" s="398"/>
      <c r="N24" s="402">
        <f t="shared" si="24"/>
        <v>0</v>
      </c>
      <c r="O24" s="403"/>
      <c r="P24" s="403"/>
      <c r="Q24" s="404">
        <v>21.25</v>
      </c>
      <c r="R24" s="403"/>
      <c r="S24" s="399">
        <f t="shared" si="25"/>
        <v>0</v>
      </c>
      <c r="T24" s="399">
        <f t="shared" si="26"/>
        <v>0</v>
      </c>
      <c r="U24" s="399">
        <f t="shared" si="27"/>
        <v>0</v>
      </c>
      <c r="V24" s="404">
        <f t="array" ref="V24">IF(F24="A",E24,IFERROR(INDEX('EQUIPAMENTOS_EFICIENTES (BDD)'!G:G,MATCH(1,('EQUIPAMENTOS_EFICIENTES (BDD)'!G:G=E24)*('EQUIPAMENTOS_EFICIENTES (BDD)'!I:I=_xlfn.MINIFS('EQUIPAMENTOS_EFICIENTES (BDD)'!I:I,'EQUIPAMENTOS_EFICIENTES (BDD)'!G:G,E24,'EQUIPAMENTOS_EFICIENTES (BDD)'!I:I,"&gt;="&amp;G24)),0)),"Substituição não encontrada"))</f>
        <v>0</v>
      </c>
      <c r="W24" s="404">
        <f t="array" ref="W24">IF(F24="A",F24,IFERROR(INDEX('EQUIPAMENTOS_EFICIENTES (BDD)'!H:H,MATCH(1,('EQUIPAMENTOS_EFICIENTES (BDD)'!G:G=E24)*('EQUIPAMENTOS_EFICIENTES (BDD)'!I:I=_xlfn.MINIFS('EQUIPAMENTOS_EFICIENTES (BDD)'!I:I,'EQUIPAMENTOS_EFICIENTES (BDD)'!G:G,E24,'EQUIPAMENTOS_EFICIENTES (BDD)'!I:I,"&gt;="&amp;G24)),0)),"Substituição não encontrada"))</f>
        <v>0</v>
      </c>
      <c r="X24" s="403">
        <f t="array" ref="X24">IF(F24="A",G24,IFERROR(INDEX('EQUIPAMENTOS_EFICIENTES (BDD)'!I:I,MATCH(1,('EQUIPAMENTOS_EFICIENTES (BDD)'!G:G=E24)*('EQUIPAMENTOS_EFICIENTES (BDD)'!I:I=_xlfn.MINIFS('EQUIPAMENTOS_EFICIENTES (BDD)'!I:I,'EQUIPAMENTOS_EFICIENTES (BDD)'!G:G,E24,'EQUIPAMENTOS_EFICIENTES (BDD)'!I:I,"&gt;="&amp;G24)),0)),"Substituição não encontrada"))</f>
        <v>0</v>
      </c>
      <c r="Y24" s="404">
        <f t="array" ref="Y24">IF(F24="A",H24,IFERROR(INDEX('EQUIPAMENTOS_EFICIENTES (BDD)'!J:J,MATCH(1,('EQUIPAMENTOS_EFICIENTES (BDD)'!G:G=E24)*('EQUIPAMENTOS_EFICIENTES (BDD)'!I:I=_xlfn.MINIFS('EQUIPAMENTOS_EFICIENTES (BDD)'!I:I,'EQUIPAMENTOS_EFICIENTES (BDD)'!G:G,E24,'EQUIPAMENTOS_EFICIENTES (BDD)'!I:I,"&gt;="&amp;G24)),0)),"Substituição não encontrada"))</f>
        <v>0</v>
      </c>
      <c r="Z24" s="404">
        <f t="array" ref="Z24">IFERROR(INDEX('EQUIPAMENTOS_EFICIENTES (BDD)'!K:K,MATCH(1,('EQUIPAMENTOS_EFICIENTES (BDD)'!G:G=E24)*('EQUIPAMENTOS_EFICIENTES (BDD)'!I:I=_xlfn.MINIFS('EQUIPAMENTOS_EFICIENTES (BDD)'!I:I,'EQUIPAMENTOS_EFICIENTES (BDD)'!G:G,E24,'EQUIPAMENTOS_EFICIENTES (BDD)'!I:I,"&gt;="&amp;G24)),0)),"")</f>
        <v>0</v>
      </c>
      <c r="AA24" s="405">
        <f t="shared" si="28"/>
        <v>0</v>
      </c>
      <c r="AB24" s="406">
        <f t="shared" si="29"/>
        <v>0</v>
      </c>
      <c r="AC24" s="407">
        <f t="shared" si="30"/>
        <v>0.7</v>
      </c>
      <c r="AD24" s="408">
        <f t="shared" si="31"/>
        <v>0</v>
      </c>
      <c r="AE24" s="408">
        <f t="shared" si="32"/>
        <v>0</v>
      </c>
      <c r="AF24" s="405">
        <f t="shared" si="33"/>
        <v>0</v>
      </c>
      <c r="AG24" s="405">
        <f t="shared" si="34"/>
        <v>0</v>
      </c>
      <c r="AH24" s="406">
        <f t="shared" si="35"/>
        <v>21.25</v>
      </c>
      <c r="AI24" s="406">
        <f t="shared" si="36"/>
        <v>0</v>
      </c>
      <c r="AJ24" s="406">
        <f t="shared" si="37"/>
        <v>0</v>
      </c>
      <c r="AK24" s="406">
        <f t="shared" si="38"/>
        <v>0</v>
      </c>
      <c r="AL24" s="406">
        <f t="shared" si="39"/>
        <v>0</v>
      </c>
      <c r="AM24" s="409">
        <f t="shared" si="40"/>
        <v>0</v>
      </c>
      <c r="AN24" s="410">
        <f t="shared" si="41"/>
        <v>0</v>
      </c>
      <c r="AO24" s="410">
        <f t="shared" si="42"/>
        <v>0</v>
      </c>
      <c r="AP24" s="411">
        <f t="shared" si="43"/>
        <v>0</v>
      </c>
      <c r="AQ24" s="410">
        <f t="shared" si="44"/>
        <v>0</v>
      </c>
      <c r="AR24" s="410">
        <f t="shared" si="45"/>
        <v>0</v>
      </c>
    </row>
    <row r="25" spans="1:44" s="64" customFormat="1" ht="15.75" customHeight="1" x14ac:dyDescent="0.25">
      <c r="A25" s="397" t="e">
        <f>IF(UC_DADOS!$B$2=0,"",UC_DADOS!$B$2)</f>
        <v>#N/A</v>
      </c>
      <c r="B25" s="398"/>
      <c r="C25" s="398"/>
      <c r="D25" s="398"/>
      <c r="E25" s="398"/>
      <c r="F25" s="398"/>
      <c r="G25" s="398"/>
      <c r="H25" s="398"/>
      <c r="I25" s="398"/>
      <c r="J25" s="399">
        <f t="shared" si="22"/>
        <v>0</v>
      </c>
      <c r="K25" s="400">
        <v>0.7</v>
      </c>
      <c r="L25" s="401">
        <f t="shared" si="23"/>
        <v>0</v>
      </c>
      <c r="M25" s="398"/>
      <c r="N25" s="402">
        <f t="shared" si="24"/>
        <v>0</v>
      </c>
      <c r="O25" s="403"/>
      <c r="P25" s="403"/>
      <c r="Q25" s="404">
        <v>21.25</v>
      </c>
      <c r="R25" s="403"/>
      <c r="S25" s="399">
        <f t="shared" si="25"/>
        <v>0</v>
      </c>
      <c r="T25" s="399">
        <f t="shared" si="26"/>
        <v>0</v>
      </c>
      <c r="U25" s="399">
        <f t="shared" si="27"/>
        <v>0</v>
      </c>
      <c r="V25" s="404">
        <f t="array" ref="V25">IF(F25="A",E25,IFERROR(INDEX('EQUIPAMENTOS_EFICIENTES (BDD)'!G:G,MATCH(1,('EQUIPAMENTOS_EFICIENTES (BDD)'!G:G=E25)*('EQUIPAMENTOS_EFICIENTES (BDD)'!I:I=_xlfn.MINIFS('EQUIPAMENTOS_EFICIENTES (BDD)'!I:I,'EQUIPAMENTOS_EFICIENTES (BDD)'!G:G,E25,'EQUIPAMENTOS_EFICIENTES (BDD)'!I:I,"&gt;="&amp;G25)),0)),"Substituição não encontrada"))</f>
        <v>0</v>
      </c>
      <c r="W25" s="404">
        <f t="array" ref="W25">IF(F25="A",F25,IFERROR(INDEX('EQUIPAMENTOS_EFICIENTES (BDD)'!H:H,MATCH(1,('EQUIPAMENTOS_EFICIENTES (BDD)'!G:G=E25)*('EQUIPAMENTOS_EFICIENTES (BDD)'!I:I=_xlfn.MINIFS('EQUIPAMENTOS_EFICIENTES (BDD)'!I:I,'EQUIPAMENTOS_EFICIENTES (BDD)'!G:G,E25,'EQUIPAMENTOS_EFICIENTES (BDD)'!I:I,"&gt;="&amp;G25)),0)),"Substituição não encontrada"))</f>
        <v>0</v>
      </c>
      <c r="X25" s="403">
        <f t="array" ref="X25">IF(F25="A",G25,IFERROR(INDEX('EQUIPAMENTOS_EFICIENTES (BDD)'!I:I,MATCH(1,('EQUIPAMENTOS_EFICIENTES (BDD)'!G:G=E25)*('EQUIPAMENTOS_EFICIENTES (BDD)'!I:I=_xlfn.MINIFS('EQUIPAMENTOS_EFICIENTES (BDD)'!I:I,'EQUIPAMENTOS_EFICIENTES (BDD)'!G:G,E25,'EQUIPAMENTOS_EFICIENTES (BDD)'!I:I,"&gt;="&amp;G25)),0)),"Substituição não encontrada"))</f>
        <v>0</v>
      </c>
      <c r="Y25" s="404">
        <f t="array" ref="Y25">IF(F25="A",H25,IFERROR(INDEX('EQUIPAMENTOS_EFICIENTES (BDD)'!J:J,MATCH(1,('EQUIPAMENTOS_EFICIENTES (BDD)'!G:G=E25)*('EQUIPAMENTOS_EFICIENTES (BDD)'!I:I=_xlfn.MINIFS('EQUIPAMENTOS_EFICIENTES (BDD)'!I:I,'EQUIPAMENTOS_EFICIENTES (BDD)'!G:G,E25,'EQUIPAMENTOS_EFICIENTES (BDD)'!I:I,"&gt;="&amp;G25)),0)),"Substituição não encontrada"))</f>
        <v>0</v>
      </c>
      <c r="Z25" s="404">
        <f t="array" ref="Z25">IFERROR(INDEX('EQUIPAMENTOS_EFICIENTES (BDD)'!K:K,MATCH(1,('EQUIPAMENTOS_EFICIENTES (BDD)'!G:G=E25)*('EQUIPAMENTOS_EFICIENTES (BDD)'!I:I=_xlfn.MINIFS('EQUIPAMENTOS_EFICIENTES (BDD)'!I:I,'EQUIPAMENTOS_EFICIENTES (BDD)'!G:G,E25,'EQUIPAMENTOS_EFICIENTES (BDD)'!I:I,"&gt;="&amp;G25)),0)),"")</f>
        <v>0</v>
      </c>
      <c r="AA25" s="405">
        <f t="shared" si="28"/>
        <v>0</v>
      </c>
      <c r="AB25" s="406">
        <f t="shared" si="29"/>
        <v>0</v>
      </c>
      <c r="AC25" s="407">
        <f t="shared" si="30"/>
        <v>0.7</v>
      </c>
      <c r="AD25" s="408">
        <f t="shared" si="31"/>
        <v>0</v>
      </c>
      <c r="AE25" s="408">
        <f t="shared" si="32"/>
        <v>0</v>
      </c>
      <c r="AF25" s="405">
        <f t="shared" si="33"/>
        <v>0</v>
      </c>
      <c r="AG25" s="405">
        <f t="shared" si="34"/>
        <v>0</v>
      </c>
      <c r="AH25" s="406">
        <f t="shared" si="35"/>
        <v>21.25</v>
      </c>
      <c r="AI25" s="406">
        <f t="shared" si="36"/>
        <v>0</v>
      </c>
      <c r="AJ25" s="406">
        <f t="shared" si="37"/>
        <v>0</v>
      </c>
      <c r="AK25" s="406">
        <f t="shared" si="38"/>
        <v>0</v>
      </c>
      <c r="AL25" s="406">
        <f t="shared" si="39"/>
        <v>0</v>
      </c>
      <c r="AM25" s="409">
        <f t="shared" si="40"/>
        <v>0</v>
      </c>
      <c r="AN25" s="410">
        <f t="shared" si="41"/>
        <v>0</v>
      </c>
      <c r="AO25" s="410">
        <f t="shared" si="42"/>
        <v>0</v>
      </c>
      <c r="AP25" s="411">
        <f t="shared" si="43"/>
        <v>0</v>
      </c>
      <c r="AQ25" s="410">
        <f t="shared" si="44"/>
        <v>0</v>
      </c>
      <c r="AR25" s="410">
        <f t="shared" si="45"/>
        <v>0</v>
      </c>
    </row>
    <row r="26" spans="1:44" s="64" customFormat="1" ht="15.75" customHeight="1" x14ac:dyDescent="0.25">
      <c r="A26" s="397" t="e">
        <f>IF(UC_DADOS!$B$2=0,"",UC_DADOS!$B$2)</f>
        <v>#N/A</v>
      </c>
      <c r="B26" s="398"/>
      <c r="C26" s="398"/>
      <c r="D26" s="398"/>
      <c r="E26" s="398"/>
      <c r="F26" s="398"/>
      <c r="G26" s="398"/>
      <c r="H26" s="398"/>
      <c r="I26" s="398"/>
      <c r="J26" s="399">
        <f t="shared" si="22"/>
        <v>0</v>
      </c>
      <c r="K26" s="400">
        <v>0.7</v>
      </c>
      <c r="L26" s="401">
        <f t="shared" si="23"/>
        <v>0</v>
      </c>
      <c r="M26" s="398"/>
      <c r="N26" s="402">
        <f t="shared" si="24"/>
        <v>0</v>
      </c>
      <c r="O26" s="403"/>
      <c r="P26" s="403"/>
      <c r="Q26" s="404">
        <v>21.25</v>
      </c>
      <c r="R26" s="403"/>
      <c r="S26" s="399">
        <f t="shared" si="25"/>
        <v>0</v>
      </c>
      <c r="T26" s="399">
        <f t="shared" si="26"/>
        <v>0</v>
      </c>
      <c r="U26" s="399">
        <f t="shared" si="27"/>
        <v>0</v>
      </c>
      <c r="V26" s="404">
        <f t="array" ref="V26">IF(F26="A",E26,IFERROR(INDEX('EQUIPAMENTOS_EFICIENTES (BDD)'!G:G,MATCH(1,('EQUIPAMENTOS_EFICIENTES (BDD)'!G:G=E26)*('EQUIPAMENTOS_EFICIENTES (BDD)'!I:I=_xlfn.MINIFS('EQUIPAMENTOS_EFICIENTES (BDD)'!I:I,'EQUIPAMENTOS_EFICIENTES (BDD)'!G:G,E26,'EQUIPAMENTOS_EFICIENTES (BDD)'!I:I,"&gt;="&amp;G26)),0)),"Substituição não encontrada"))</f>
        <v>0</v>
      </c>
      <c r="W26" s="404">
        <f t="array" ref="W26">IF(F26="A",F26,IFERROR(INDEX('EQUIPAMENTOS_EFICIENTES (BDD)'!H:H,MATCH(1,('EQUIPAMENTOS_EFICIENTES (BDD)'!G:G=E26)*('EQUIPAMENTOS_EFICIENTES (BDD)'!I:I=_xlfn.MINIFS('EQUIPAMENTOS_EFICIENTES (BDD)'!I:I,'EQUIPAMENTOS_EFICIENTES (BDD)'!G:G,E26,'EQUIPAMENTOS_EFICIENTES (BDD)'!I:I,"&gt;="&amp;G26)),0)),"Substituição não encontrada"))</f>
        <v>0</v>
      </c>
      <c r="X26" s="403">
        <f t="array" ref="X26">IF(F26="A",G26,IFERROR(INDEX('EQUIPAMENTOS_EFICIENTES (BDD)'!I:I,MATCH(1,('EQUIPAMENTOS_EFICIENTES (BDD)'!G:G=E26)*('EQUIPAMENTOS_EFICIENTES (BDD)'!I:I=_xlfn.MINIFS('EQUIPAMENTOS_EFICIENTES (BDD)'!I:I,'EQUIPAMENTOS_EFICIENTES (BDD)'!G:G,E26,'EQUIPAMENTOS_EFICIENTES (BDD)'!I:I,"&gt;="&amp;G26)),0)),"Substituição não encontrada"))</f>
        <v>0</v>
      </c>
      <c r="Y26" s="404">
        <f t="array" ref="Y26">IF(F26="A",H26,IFERROR(INDEX('EQUIPAMENTOS_EFICIENTES (BDD)'!J:J,MATCH(1,('EQUIPAMENTOS_EFICIENTES (BDD)'!G:G=E26)*('EQUIPAMENTOS_EFICIENTES (BDD)'!I:I=_xlfn.MINIFS('EQUIPAMENTOS_EFICIENTES (BDD)'!I:I,'EQUIPAMENTOS_EFICIENTES (BDD)'!G:G,E26,'EQUIPAMENTOS_EFICIENTES (BDD)'!I:I,"&gt;="&amp;G26)),0)),"Substituição não encontrada"))</f>
        <v>0</v>
      </c>
      <c r="Z26" s="404">
        <f t="array" ref="Z26">IFERROR(INDEX('EQUIPAMENTOS_EFICIENTES (BDD)'!K:K,MATCH(1,('EQUIPAMENTOS_EFICIENTES (BDD)'!G:G=E26)*('EQUIPAMENTOS_EFICIENTES (BDD)'!I:I=_xlfn.MINIFS('EQUIPAMENTOS_EFICIENTES (BDD)'!I:I,'EQUIPAMENTOS_EFICIENTES (BDD)'!G:G,E26,'EQUIPAMENTOS_EFICIENTES (BDD)'!I:I,"&gt;="&amp;G26)),0)),"")</f>
        <v>0</v>
      </c>
      <c r="AA26" s="405">
        <f t="shared" si="28"/>
        <v>0</v>
      </c>
      <c r="AB26" s="406">
        <f t="shared" si="29"/>
        <v>0</v>
      </c>
      <c r="AC26" s="407">
        <f t="shared" si="30"/>
        <v>0.7</v>
      </c>
      <c r="AD26" s="408">
        <f t="shared" si="31"/>
        <v>0</v>
      </c>
      <c r="AE26" s="408">
        <f t="shared" si="32"/>
        <v>0</v>
      </c>
      <c r="AF26" s="405">
        <f t="shared" si="33"/>
        <v>0</v>
      </c>
      <c r="AG26" s="405">
        <f t="shared" si="34"/>
        <v>0</v>
      </c>
      <c r="AH26" s="406">
        <f t="shared" si="35"/>
        <v>21.25</v>
      </c>
      <c r="AI26" s="406">
        <f t="shared" si="36"/>
        <v>0</v>
      </c>
      <c r="AJ26" s="406">
        <f t="shared" si="37"/>
        <v>0</v>
      </c>
      <c r="AK26" s="406">
        <f t="shared" si="38"/>
        <v>0</v>
      </c>
      <c r="AL26" s="406">
        <f t="shared" si="39"/>
        <v>0</v>
      </c>
      <c r="AM26" s="409">
        <f t="shared" si="40"/>
        <v>0</v>
      </c>
      <c r="AN26" s="410">
        <f t="shared" si="41"/>
        <v>0</v>
      </c>
      <c r="AO26" s="410">
        <f t="shared" si="42"/>
        <v>0</v>
      </c>
      <c r="AP26" s="411">
        <f t="shared" si="43"/>
        <v>0</v>
      </c>
      <c r="AQ26" s="410">
        <f t="shared" si="44"/>
        <v>0</v>
      </c>
      <c r="AR26" s="410">
        <f t="shared" si="45"/>
        <v>0</v>
      </c>
    </row>
    <row r="27" spans="1:44" s="64" customFormat="1" ht="15.75" customHeight="1" x14ac:dyDescent="0.25">
      <c r="A27" s="397" t="e">
        <f>IF(UC_DADOS!$B$2=0,"",UC_DADOS!$B$2)</f>
        <v>#N/A</v>
      </c>
      <c r="B27" s="398"/>
      <c r="C27" s="398"/>
      <c r="D27" s="398"/>
      <c r="E27" s="398"/>
      <c r="F27" s="398"/>
      <c r="G27" s="398"/>
      <c r="H27" s="398"/>
      <c r="I27" s="398"/>
      <c r="J27" s="399">
        <f t="shared" si="22"/>
        <v>0</v>
      </c>
      <c r="K27" s="400">
        <v>0.7</v>
      </c>
      <c r="L27" s="401">
        <f t="shared" si="23"/>
        <v>0</v>
      </c>
      <c r="M27" s="398"/>
      <c r="N27" s="402">
        <f t="shared" si="24"/>
        <v>0</v>
      </c>
      <c r="O27" s="403"/>
      <c r="P27" s="403"/>
      <c r="Q27" s="404">
        <v>21.25</v>
      </c>
      <c r="R27" s="403"/>
      <c r="S27" s="399">
        <f t="shared" si="25"/>
        <v>0</v>
      </c>
      <c r="T27" s="399">
        <f t="shared" si="26"/>
        <v>0</v>
      </c>
      <c r="U27" s="399">
        <f t="shared" si="27"/>
        <v>0</v>
      </c>
      <c r="V27" s="404">
        <f t="array" ref="V27">IF(F27="A",E27,IFERROR(INDEX('EQUIPAMENTOS_EFICIENTES (BDD)'!G:G,MATCH(1,('EQUIPAMENTOS_EFICIENTES (BDD)'!G:G=E27)*('EQUIPAMENTOS_EFICIENTES (BDD)'!I:I=_xlfn.MINIFS('EQUIPAMENTOS_EFICIENTES (BDD)'!I:I,'EQUIPAMENTOS_EFICIENTES (BDD)'!G:G,E27,'EQUIPAMENTOS_EFICIENTES (BDD)'!I:I,"&gt;="&amp;G27)),0)),"Substituição não encontrada"))</f>
        <v>0</v>
      </c>
      <c r="W27" s="404">
        <f t="array" ref="W27">IF(F27="A",F27,IFERROR(INDEX('EQUIPAMENTOS_EFICIENTES (BDD)'!H:H,MATCH(1,('EQUIPAMENTOS_EFICIENTES (BDD)'!G:G=E27)*('EQUIPAMENTOS_EFICIENTES (BDD)'!I:I=_xlfn.MINIFS('EQUIPAMENTOS_EFICIENTES (BDD)'!I:I,'EQUIPAMENTOS_EFICIENTES (BDD)'!G:G,E27,'EQUIPAMENTOS_EFICIENTES (BDD)'!I:I,"&gt;="&amp;G27)),0)),"Substituição não encontrada"))</f>
        <v>0</v>
      </c>
      <c r="X27" s="403">
        <f t="array" ref="X27">IF(F27="A",G27,IFERROR(INDEX('EQUIPAMENTOS_EFICIENTES (BDD)'!I:I,MATCH(1,('EQUIPAMENTOS_EFICIENTES (BDD)'!G:G=E27)*('EQUIPAMENTOS_EFICIENTES (BDD)'!I:I=_xlfn.MINIFS('EQUIPAMENTOS_EFICIENTES (BDD)'!I:I,'EQUIPAMENTOS_EFICIENTES (BDD)'!G:G,E27,'EQUIPAMENTOS_EFICIENTES (BDD)'!I:I,"&gt;="&amp;G27)),0)),"Substituição não encontrada"))</f>
        <v>0</v>
      </c>
      <c r="Y27" s="404">
        <f t="array" ref="Y27">IF(F27="A",H27,IFERROR(INDEX('EQUIPAMENTOS_EFICIENTES (BDD)'!J:J,MATCH(1,('EQUIPAMENTOS_EFICIENTES (BDD)'!G:G=E27)*('EQUIPAMENTOS_EFICIENTES (BDD)'!I:I=_xlfn.MINIFS('EQUIPAMENTOS_EFICIENTES (BDD)'!I:I,'EQUIPAMENTOS_EFICIENTES (BDD)'!G:G,E27,'EQUIPAMENTOS_EFICIENTES (BDD)'!I:I,"&gt;="&amp;G27)),0)),"Substituição não encontrada"))</f>
        <v>0</v>
      </c>
      <c r="Z27" s="404">
        <f t="array" ref="Z27">IFERROR(INDEX('EQUIPAMENTOS_EFICIENTES (BDD)'!K:K,MATCH(1,('EQUIPAMENTOS_EFICIENTES (BDD)'!G:G=E27)*('EQUIPAMENTOS_EFICIENTES (BDD)'!I:I=_xlfn.MINIFS('EQUIPAMENTOS_EFICIENTES (BDD)'!I:I,'EQUIPAMENTOS_EFICIENTES (BDD)'!G:G,E27,'EQUIPAMENTOS_EFICIENTES (BDD)'!I:I,"&gt;="&amp;G27)),0)),"")</f>
        <v>0</v>
      </c>
      <c r="AA27" s="405">
        <f t="shared" si="28"/>
        <v>0</v>
      </c>
      <c r="AB27" s="406">
        <f t="shared" si="29"/>
        <v>0</v>
      </c>
      <c r="AC27" s="407">
        <f t="shared" si="30"/>
        <v>0.7</v>
      </c>
      <c r="AD27" s="408">
        <f t="shared" si="31"/>
        <v>0</v>
      </c>
      <c r="AE27" s="408">
        <f t="shared" si="32"/>
        <v>0</v>
      </c>
      <c r="AF27" s="405">
        <f t="shared" si="33"/>
        <v>0</v>
      </c>
      <c r="AG27" s="405">
        <f t="shared" si="34"/>
        <v>0</v>
      </c>
      <c r="AH27" s="406">
        <f t="shared" si="35"/>
        <v>21.25</v>
      </c>
      <c r="AI27" s="406">
        <f t="shared" si="36"/>
        <v>0</v>
      </c>
      <c r="AJ27" s="406">
        <f t="shared" si="37"/>
        <v>0</v>
      </c>
      <c r="AK27" s="406">
        <f t="shared" si="38"/>
        <v>0</v>
      </c>
      <c r="AL27" s="406">
        <f t="shared" si="39"/>
        <v>0</v>
      </c>
      <c r="AM27" s="409">
        <f t="shared" si="40"/>
        <v>0</v>
      </c>
      <c r="AN27" s="410">
        <f t="shared" si="41"/>
        <v>0</v>
      </c>
      <c r="AO27" s="410">
        <f t="shared" si="42"/>
        <v>0</v>
      </c>
      <c r="AP27" s="411">
        <f t="shared" si="43"/>
        <v>0</v>
      </c>
      <c r="AQ27" s="410">
        <f t="shared" si="44"/>
        <v>0</v>
      </c>
      <c r="AR27" s="410">
        <f t="shared" si="45"/>
        <v>0</v>
      </c>
    </row>
    <row r="28" spans="1:44" s="64" customFormat="1" ht="15.75" customHeight="1" x14ac:dyDescent="0.25">
      <c r="A28" s="397" t="e">
        <f>IF(UC_DADOS!$B$2=0,"",UC_DADOS!$B$2)</f>
        <v>#N/A</v>
      </c>
      <c r="B28" s="398"/>
      <c r="C28" s="398"/>
      <c r="D28" s="398"/>
      <c r="E28" s="398"/>
      <c r="F28" s="398"/>
      <c r="G28" s="398"/>
      <c r="H28" s="398"/>
      <c r="I28" s="398"/>
      <c r="J28" s="399">
        <f t="shared" si="22"/>
        <v>0</v>
      </c>
      <c r="K28" s="400">
        <v>0.7</v>
      </c>
      <c r="L28" s="401">
        <f t="shared" si="23"/>
        <v>0</v>
      </c>
      <c r="M28" s="398"/>
      <c r="N28" s="402">
        <f t="shared" si="24"/>
        <v>0</v>
      </c>
      <c r="O28" s="403"/>
      <c r="P28" s="403"/>
      <c r="Q28" s="404">
        <v>21.25</v>
      </c>
      <c r="R28" s="403"/>
      <c r="S28" s="399">
        <f t="shared" si="25"/>
        <v>0</v>
      </c>
      <c r="T28" s="399">
        <f t="shared" si="26"/>
        <v>0</v>
      </c>
      <c r="U28" s="399">
        <f t="shared" si="27"/>
        <v>0</v>
      </c>
      <c r="V28" s="404">
        <f t="array" ref="V28">IF(F28="A",E28,IFERROR(INDEX('EQUIPAMENTOS_EFICIENTES (BDD)'!G:G,MATCH(1,('EQUIPAMENTOS_EFICIENTES (BDD)'!G:G=E28)*('EQUIPAMENTOS_EFICIENTES (BDD)'!I:I=_xlfn.MINIFS('EQUIPAMENTOS_EFICIENTES (BDD)'!I:I,'EQUIPAMENTOS_EFICIENTES (BDD)'!G:G,E28,'EQUIPAMENTOS_EFICIENTES (BDD)'!I:I,"&gt;="&amp;G28)),0)),"Substituição não encontrada"))</f>
        <v>0</v>
      </c>
      <c r="W28" s="404">
        <f t="array" ref="W28">IF(F28="A",F28,IFERROR(INDEX('EQUIPAMENTOS_EFICIENTES (BDD)'!H:H,MATCH(1,('EQUIPAMENTOS_EFICIENTES (BDD)'!G:G=E28)*('EQUIPAMENTOS_EFICIENTES (BDD)'!I:I=_xlfn.MINIFS('EQUIPAMENTOS_EFICIENTES (BDD)'!I:I,'EQUIPAMENTOS_EFICIENTES (BDD)'!G:G,E28,'EQUIPAMENTOS_EFICIENTES (BDD)'!I:I,"&gt;="&amp;G28)),0)),"Substituição não encontrada"))</f>
        <v>0</v>
      </c>
      <c r="X28" s="403">
        <f t="array" ref="X28">IF(F28="A",G28,IFERROR(INDEX('EQUIPAMENTOS_EFICIENTES (BDD)'!I:I,MATCH(1,('EQUIPAMENTOS_EFICIENTES (BDD)'!G:G=E28)*('EQUIPAMENTOS_EFICIENTES (BDD)'!I:I=_xlfn.MINIFS('EQUIPAMENTOS_EFICIENTES (BDD)'!I:I,'EQUIPAMENTOS_EFICIENTES (BDD)'!G:G,E28,'EQUIPAMENTOS_EFICIENTES (BDD)'!I:I,"&gt;="&amp;G28)),0)),"Substituição não encontrada"))</f>
        <v>0</v>
      </c>
      <c r="Y28" s="404">
        <f t="array" ref="Y28">IF(F28="A",H28,IFERROR(INDEX('EQUIPAMENTOS_EFICIENTES (BDD)'!J:J,MATCH(1,('EQUIPAMENTOS_EFICIENTES (BDD)'!G:G=E28)*('EQUIPAMENTOS_EFICIENTES (BDD)'!I:I=_xlfn.MINIFS('EQUIPAMENTOS_EFICIENTES (BDD)'!I:I,'EQUIPAMENTOS_EFICIENTES (BDD)'!G:G,E28,'EQUIPAMENTOS_EFICIENTES (BDD)'!I:I,"&gt;="&amp;G28)),0)),"Substituição não encontrada"))</f>
        <v>0</v>
      </c>
      <c r="Z28" s="404">
        <f t="array" ref="Z28">IFERROR(INDEX('EQUIPAMENTOS_EFICIENTES (BDD)'!K:K,MATCH(1,('EQUIPAMENTOS_EFICIENTES (BDD)'!G:G=E28)*('EQUIPAMENTOS_EFICIENTES (BDD)'!I:I=_xlfn.MINIFS('EQUIPAMENTOS_EFICIENTES (BDD)'!I:I,'EQUIPAMENTOS_EFICIENTES (BDD)'!G:G,E28,'EQUIPAMENTOS_EFICIENTES (BDD)'!I:I,"&gt;="&amp;G28)),0)),"")</f>
        <v>0</v>
      </c>
      <c r="AA28" s="405">
        <f t="shared" si="28"/>
        <v>0</v>
      </c>
      <c r="AB28" s="406">
        <f t="shared" si="29"/>
        <v>0</v>
      </c>
      <c r="AC28" s="407">
        <f t="shared" si="30"/>
        <v>0.7</v>
      </c>
      <c r="AD28" s="408">
        <f t="shared" si="31"/>
        <v>0</v>
      </c>
      <c r="AE28" s="408">
        <f t="shared" si="32"/>
        <v>0</v>
      </c>
      <c r="AF28" s="405">
        <f t="shared" si="33"/>
        <v>0</v>
      </c>
      <c r="AG28" s="405">
        <f t="shared" si="34"/>
        <v>0</v>
      </c>
      <c r="AH28" s="406">
        <f t="shared" si="35"/>
        <v>21.25</v>
      </c>
      <c r="AI28" s="406">
        <f t="shared" si="36"/>
        <v>0</v>
      </c>
      <c r="AJ28" s="406">
        <f t="shared" si="37"/>
        <v>0</v>
      </c>
      <c r="AK28" s="406">
        <f t="shared" si="38"/>
        <v>0</v>
      </c>
      <c r="AL28" s="406">
        <f t="shared" si="39"/>
        <v>0</v>
      </c>
      <c r="AM28" s="409">
        <f t="shared" si="40"/>
        <v>0</v>
      </c>
      <c r="AN28" s="410">
        <f t="shared" si="41"/>
        <v>0</v>
      </c>
      <c r="AO28" s="410">
        <f t="shared" si="42"/>
        <v>0</v>
      </c>
      <c r="AP28" s="411">
        <f t="shared" si="43"/>
        <v>0</v>
      </c>
      <c r="AQ28" s="410">
        <f t="shared" si="44"/>
        <v>0</v>
      </c>
      <c r="AR28" s="410">
        <f t="shared" si="45"/>
        <v>0</v>
      </c>
    </row>
    <row r="29" spans="1:44" s="64" customFormat="1" ht="15.75" customHeight="1" x14ac:dyDescent="0.25">
      <c r="A29" s="397" t="e">
        <f>IF(UC_DADOS!$B$2=0,"",UC_DADOS!$B$2)</f>
        <v>#N/A</v>
      </c>
      <c r="B29" s="398"/>
      <c r="C29" s="398"/>
      <c r="D29" s="398"/>
      <c r="E29" s="398"/>
      <c r="F29" s="398"/>
      <c r="G29" s="398"/>
      <c r="H29" s="398"/>
      <c r="I29" s="398"/>
      <c r="J29" s="399">
        <f t="shared" si="22"/>
        <v>0</v>
      </c>
      <c r="K29" s="400">
        <v>0.7</v>
      </c>
      <c r="L29" s="401">
        <f t="shared" si="23"/>
        <v>0</v>
      </c>
      <c r="M29" s="398"/>
      <c r="N29" s="402">
        <f t="shared" si="24"/>
        <v>0</v>
      </c>
      <c r="O29" s="403"/>
      <c r="P29" s="403"/>
      <c r="Q29" s="404">
        <v>21.25</v>
      </c>
      <c r="R29" s="403"/>
      <c r="S29" s="399">
        <f t="shared" si="25"/>
        <v>0</v>
      </c>
      <c r="T29" s="399">
        <f t="shared" si="26"/>
        <v>0</v>
      </c>
      <c r="U29" s="399">
        <f t="shared" si="27"/>
        <v>0</v>
      </c>
      <c r="V29" s="404">
        <f t="array" ref="V29">IF(F29="A",E29,IFERROR(INDEX('EQUIPAMENTOS_EFICIENTES (BDD)'!G:G,MATCH(1,('EQUIPAMENTOS_EFICIENTES (BDD)'!G:G=E29)*('EQUIPAMENTOS_EFICIENTES (BDD)'!I:I=_xlfn.MINIFS('EQUIPAMENTOS_EFICIENTES (BDD)'!I:I,'EQUIPAMENTOS_EFICIENTES (BDD)'!G:G,E29,'EQUIPAMENTOS_EFICIENTES (BDD)'!I:I,"&gt;="&amp;G29)),0)),"Substituição não encontrada"))</f>
        <v>0</v>
      </c>
      <c r="W29" s="404">
        <f t="array" ref="W29">IF(F29="A",F29,IFERROR(INDEX('EQUIPAMENTOS_EFICIENTES (BDD)'!H:H,MATCH(1,('EQUIPAMENTOS_EFICIENTES (BDD)'!G:G=E29)*('EQUIPAMENTOS_EFICIENTES (BDD)'!I:I=_xlfn.MINIFS('EQUIPAMENTOS_EFICIENTES (BDD)'!I:I,'EQUIPAMENTOS_EFICIENTES (BDD)'!G:G,E29,'EQUIPAMENTOS_EFICIENTES (BDD)'!I:I,"&gt;="&amp;G29)),0)),"Substituição não encontrada"))</f>
        <v>0</v>
      </c>
      <c r="X29" s="403">
        <f t="array" ref="X29">IF(F29="A",G29,IFERROR(INDEX('EQUIPAMENTOS_EFICIENTES (BDD)'!I:I,MATCH(1,('EQUIPAMENTOS_EFICIENTES (BDD)'!G:G=E29)*('EQUIPAMENTOS_EFICIENTES (BDD)'!I:I=_xlfn.MINIFS('EQUIPAMENTOS_EFICIENTES (BDD)'!I:I,'EQUIPAMENTOS_EFICIENTES (BDD)'!G:G,E29,'EQUIPAMENTOS_EFICIENTES (BDD)'!I:I,"&gt;="&amp;G29)),0)),"Substituição não encontrada"))</f>
        <v>0</v>
      </c>
      <c r="Y29" s="404">
        <f t="array" ref="Y29">IF(F29="A",H29,IFERROR(INDEX('EQUIPAMENTOS_EFICIENTES (BDD)'!J:J,MATCH(1,('EQUIPAMENTOS_EFICIENTES (BDD)'!G:G=E29)*('EQUIPAMENTOS_EFICIENTES (BDD)'!I:I=_xlfn.MINIFS('EQUIPAMENTOS_EFICIENTES (BDD)'!I:I,'EQUIPAMENTOS_EFICIENTES (BDD)'!G:G,E29,'EQUIPAMENTOS_EFICIENTES (BDD)'!I:I,"&gt;="&amp;G29)),0)),"Substituição não encontrada"))</f>
        <v>0</v>
      </c>
      <c r="Z29" s="404">
        <f t="array" ref="Z29">IFERROR(INDEX('EQUIPAMENTOS_EFICIENTES (BDD)'!K:K,MATCH(1,('EQUIPAMENTOS_EFICIENTES (BDD)'!G:G=E29)*('EQUIPAMENTOS_EFICIENTES (BDD)'!I:I=_xlfn.MINIFS('EQUIPAMENTOS_EFICIENTES (BDD)'!I:I,'EQUIPAMENTOS_EFICIENTES (BDD)'!G:G,E29,'EQUIPAMENTOS_EFICIENTES (BDD)'!I:I,"&gt;="&amp;G29)),0)),"")</f>
        <v>0</v>
      </c>
      <c r="AA29" s="405">
        <f t="shared" si="28"/>
        <v>0</v>
      </c>
      <c r="AB29" s="406">
        <f t="shared" si="29"/>
        <v>0</v>
      </c>
      <c r="AC29" s="407">
        <f t="shared" si="30"/>
        <v>0.7</v>
      </c>
      <c r="AD29" s="408">
        <f t="shared" si="31"/>
        <v>0</v>
      </c>
      <c r="AE29" s="408">
        <f t="shared" si="32"/>
        <v>0</v>
      </c>
      <c r="AF29" s="405">
        <f t="shared" si="33"/>
        <v>0</v>
      </c>
      <c r="AG29" s="405">
        <f t="shared" si="34"/>
        <v>0</v>
      </c>
      <c r="AH29" s="406">
        <f t="shared" si="35"/>
        <v>21.25</v>
      </c>
      <c r="AI29" s="406">
        <f t="shared" si="36"/>
        <v>0</v>
      </c>
      <c r="AJ29" s="406">
        <f t="shared" si="37"/>
        <v>0</v>
      </c>
      <c r="AK29" s="406">
        <f t="shared" si="38"/>
        <v>0</v>
      </c>
      <c r="AL29" s="406">
        <f t="shared" si="39"/>
        <v>0</v>
      </c>
      <c r="AM29" s="409">
        <f t="shared" si="40"/>
        <v>0</v>
      </c>
      <c r="AN29" s="410">
        <f t="shared" si="41"/>
        <v>0</v>
      </c>
      <c r="AO29" s="410">
        <f t="shared" si="42"/>
        <v>0</v>
      </c>
      <c r="AP29" s="411">
        <f t="shared" si="43"/>
        <v>0</v>
      </c>
      <c r="AQ29" s="410">
        <f t="shared" si="44"/>
        <v>0</v>
      </c>
      <c r="AR29" s="410">
        <f t="shared" si="45"/>
        <v>0</v>
      </c>
    </row>
    <row r="30" spans="1:44" s="64" customFormat="1" ht="15.75" customHeight="1" x14ac:dyDescent="0.25">
      <c r="A30" s="397" t="e">
        <f>IF(UC_DADOS!$B$2=0,"",UC_DADOS!$B$2)</f>
        <v>#N/A</v>
      </c>
      <c r="B30" s="398"/>
      <c r="C30" s="398"/>
      <c r="D30" s="398"/>
      <c r="E30" s="398"/>
      <c r="F30" s="398"/>
      <c r="G30" s="398"/>
      <c r="H30" s="398"/>
      <c r="I30" s="398"/>
      <c r="J30" s="399">
        <f t="shared" si="22"/>
        <v>0</v>
      </c>
      <c r="K30" s="400">
        <v>0.7</v>
      </c>
      <c r="L30" s="401">
        <f t="shared" si="23"/>
        <v>0</v>
      </c>
      <c r="M30" s="398"/>
      <c r="N30" s="402">
        <f t="shared" si="24"/>
        <v>0</v>
      </c>
      <c r="O30" s="403"/>
      <c r="P30" s="403"/>
      <c r="Q30" s="404">
        <v>21.25</v>
      </c>
      <c r="R30" s="403"/>
      <c r="S30" s="399">
        <f t="shared" si="25"/>
        <v>0</v>
      </c>
      <c r="T30" s="399">
        <f t="shared" si="26"/>
        <v>0</v>
      </c>
      <c r="U30" s="399">
        <f t="shared" si="27"/>
        <v>0</v>
      </c>
      <c r="V30" s="404">
        <f t="array" ref="V30">IF(F30="A",E30,IFERROR(INDEX('EQUIPAMENTOS_EFICIENTES (BDD)'!G:G,MATCH(1,('EQUIPAMENTOS_EFICIENTES (BDD)'!G:G=E30)*('EQUIPAMENTOS_EFICIENTES (BDD)'!I:I=_xlfn.MINIFS('EQUIPAMENTOS_EFICIENTES (BDD)'!I:I,'EQUIPAMENTOS_EFICIENTES (BDD)'!G:G,E30,'EQUIPAMENTOS_EFICIENTES (BDD)'!I:I,"&gt;="&amp;G30)),0)),"Substituição não encontrada"))</f>
        <v>0</v>
      </c>
      <c r="W30" s="404">
        <f t="array" ref="W30">IF(F30="A",F30,IFERROR(INDEX('EQUIPAMENTOS_EFICIENTES (BDD)'!H:H,MATCH(1,('EQUIPAMENTOS_EFICIENTES (BDD)'!G:G=E30)*('EQUIPAMENTOS_EFICIENTES (BDD)'!I:I=_xlfn.MINIFS('EQUIPAMENTOS_EFICIENTES (BDD)'!I:I,'EQUIPAMENTOS_EFICIENTES (BDD)'!G:G,E30,'EQUIPAMENTOS_EFICIENTES (BDD)'!I:I,"&gt;="&amp;G30)),0)),"Substituição não encontrada"))</f>
        <v>0</v>
      </c>
      <c r="X30" s="403">
        <f t="array" ref="X30">IF(F30="A",G30,IFERROR(INDEX('EQUIPAMENTOS_EFICIENTES (BDD)'!I:I,MATCH(1,('EQUIPAMENTOS_EFICIENTES (BDD)'!G:G=E30)*('EQUIPAMENTOS_EFICIENTES (BDD)'!I:I=_xlfn.MINIFS('EQUIPAMENTOS_EFICIENTES (BDD)'!I:I,'EQUIPAMENTOS_EFICIENTES (BDD)'!G:G,E30,'EQUIPAMENTOS_EFICIENTES (BDD)'!I:I,"&gt;="&amp;G30)),0)),"Substituição não encontrada"))</f>
        <v>0</v>
      </c>
      <c r="Y30" s="404">
        <f t="array" ref="Y30">IF(F30="A",H30,IFERROR(INDEX('EQUIPAMENTOS_EFICIENTES (BDD)'!J:J,MATCH(1,('EQUIPAMENTOS_EFICIENTES (BDD)'!G:G=E30)*('EQUIPAMENTOS_EFICIENTES (BDD)'!I:I=_xlfn.MINIFS('EQUIPAMENTOS_EFICIENTES (BDD)'!I:I,'EQUIPAMENTOS_EFICIENTES (BDD)'!G:G,E30,'EQUIPAMENTOS_EFICIENTES (BDD)'!I:I,"&gt;="&amp;G30)),0)),"Substituição não encontrada"))</f>
        <v>0</v>
      </c>
      <c r="Z30" s="404">
        <f t="array" ref="Z30">IFERROR(INDEX('EQUIPAMENTOS_EFICIENTES (BDD)'!K:K,MATCH(1,('EQUIPAMENTOS_EFICIENTES (BDD)'!G:G=E30)*('EQUIPAMENTOS_EFICIENTES (BDD)'!I:I=_xlfn.MINIFS('EQUIPAMENTOS_EFICIENTES (BDD)'!I:I,'EQUIPAMENTOS_EFICIENTES (BDD)'!G:G,E30,'EQUIPAMENTOS_EFICIENTES (BDD)'!I:I,"&gt;="&amp;G30)),0)),"")</f>
        <v>0</v>
      </c>
      <c r="AA30" s="405">
        <f t="shared" si="28"/>
        <v>0</v>
      </c>
      <c r="AB30" s="406">
        <f t="shared" si="29"/>
        <v>0</v>
      </c>
      <c r="AC30" s="407">
        <f t="shared" si="30"/>
        <v>0.7</v>
      </c>
      <c r="AD30" s="408">
        <f t="shared" si="31"/>
        <v>0</v>
      </c>
      <c r="AE30" s="408">
        <f t="shared" si="32"/>
        <v>0</v>
      </c>
      <c r="AF30" s="405">
        <f t="shared" si="33"/>
        <v>0</v>
      </c>
      <c r="AG30" s="405">
        <f t="shared" si="34"/>
        <v>0</v>
      </c>
      <c r="AH30" s="406">
        <f t="shared" si="35"/>
        <v>21.25</v>
      </c>
      <c r="AI30" s="406">
        <f t="shared" si="36"/>
        <v>0</v>
      </c>
      <c r="AJ30" s="406">
        <f t="shared" si="37"/>
        <v>0</v>
      </c>
      <c r="AK30" s="406">
        <f t="shared" si="38"/>
        <v>0</v>
      </c>
      <c r="AL30" s="406">
        <f t="shared" si="39"/>
        <v>0</v>
      </c>
      <c r="AM30" s="409">
        <f t="shared" si="40"/>
        <v>0</v>
      </c>
      <c r="AN30" s="410">
        <f t="shared" si="41"/>
        <v>0</v>
      </c>
      <c r="AO30" s="410">
        <f t="shared" si="42"/>
        <v>0</v>
      </c>
      <c r="AP30" s="411">
        <f t="shared" si="43"/>
        <v>0</v>
      </c>
      <c r="AQ30" s="410">
        <f t="shared" si="44"/>
        <v>0</v>
      </c>
      <c r="AR30" s="410">
        <f t="shared" si="45"/>
        <v>0</v>
      </c>
    </row>
    <row r="31" spans="1:44" s="64" customFormat="1" ht="15.75" customHeight="1" x14ac:dyDescent="0.25">
      <c r="A31" s="397" t="e">
        <f>IF(UC_DADOS!$B$2=0,"",UC_DADOS!$B$2)</f>
        <v>#N/A</v>
      </c>
      <c r="B31" s="398"/>
      <c r="C31" s="398"/>
      <c r="D31" s="398"/>
      <c r="E31" s="398"/>
      <c r="F31" s="398"/>
      <c r="G31" s="398"/>
      <c r="H31" s="398"/>
      <c r="I31" s="398"/>
      <c r="J31" s="399">
        <f t="shared" si="22"/>
        <v>0</v>
      </c>
      <c r="K31" s="400">
        <v>0.7</v>
      </c>
      <c r="L31" s="401">
        <f t="shared" si="23"/>
        <v>0</v>
      </c>
      <c r="M31" s="398"/>
      <c r="N31" s="402">
        <f t="shared" si="24"/>
        <v>0</v>
      </c>
      <c r="O31" s="403"/>
      <c r="P31" s="403"/>
      <c r="Q31" s="404">
        <v>21.25</v>
      </c>
      <c r="R31" s="403"/>
      <c r="S31" s="399">
        <f t="shared" si="25"/>
        <v>0</v>
      </c>
      <c r="T31" s="399">
        <f t="shared" si="26"/>
        <v>0</v>
      </c>
      <c r="U31" s="399">
        <f t="shared" si="27"/>
        <v>0</v>
      </c>
      <c r="V31" s="404">
        <f t="array" ref="V31">IF(F31="A",E31,IFERROR(INDEX('EQUIPAMENTOS_EFICIENTES (BDD)'!G:G,MATCH(1,('EQUIPAMENTOS_EFICIENTES (BDD)'!G:G=E31)*('EQUIPAMENTOS_EFICIENTES (BDD)'!I:I=_xlfn.MINIFS('EQUIPAMENTOS_EFICIENTES (BDD)'!I:I,'EQUIPAMENTOS_EFICIENTES (BDD)'!G:G,E31,'EQUIPAMENTOS_EFICIENTES (BDD)'!I:I,"&gt;="&amp;G31)),0)),"Substituição não encontrada"))</f>
        <v>0</v>
      </c>
      <c r="W31" s="404">
        <f t="array" ref="W31">IF(F31="A",F31,IFERROR(INDEX('EQUIPAMENTOS_EFICIENTES (BDD)'!H:H,MATCH(1,('EQUIPAMENTOS_EFICIENTES (BDD)'!G:G=E31)*('EQUIPAMENTOS_EFICIENTES (BDD)'!I:I=_xlfn.MINIFS('EQUIPAMENTOS_EFICIENTES (BDD)'!I:I,'EQUIPAMENTOS_EFICIENTES (BDD)'!G:G,E31,'EQUIPAMENTOS_EFICIENTES (BDD)'!I:I,"&gt;="&amp;G31)),0)),"Substituição não encontrada"))</f>
        <v>0</v>
      </c>
      <c r="X31" s="403">
        <f t="array" ref="X31">IF(F31="A",G31,IFERROR(INDEX('EQUIPAMENTOS_EFICIENTES (BDD)'!I:I,MATCH(1,('EQUIPAMENTOS_EFICIENTES (BDD)'!G:G=E31)*('EQUIPAMENTOS_EFICIENTES (BDD)'!I:I=_xlfn.MINIFS('EQUIPAMENTOS_EFICIENTES (BDD)'!I:I,'EQUIPAMENTOS_EFICIENTES (BDD)'!G:G,E31,'EQUIPAMENTOS_EFICIENTES (BDD)'!I:I,"&gt;="&amp;G31)),0)),"Substituição não encontrada"))</f>
        <v>0</v>
      </c>
      <c r="Y31" s="404">
        <f t="array" ref="Y31">IF(F31="A",H31,IFERROR(INDEX('EQUIPAMENTOS_EFICIENTES (BDD)'!J:J,MATCH(1,('EQUIPAMENTOS_EFICIENTES (BDD)'!G:G=E31)*('EQUIPAMENTOS_EFICIENTES (BDD)'!I:I=_xlfn.MINIFS('EQUIPAMENTOS_EFICIENTES (BDD)'!I:I,'EQUIPAMENTOS_EFICIENTES (BDD)'!G:G,E31,'EQUIPAMENTOS_EFICIENTES (BDD)'!I:I,"&gt;="&amp;G31)),0)),"Substituição não encontrada"))</f>
        <v>0</v>
      </c>
      <c r="Z31" s="404">
        <f t="array" ref="Z31">IFERROR(INDEX('EQUIPAMENTOS_EFICIENTES (BDD)'!K:K,MATCH(1,('EQUIPAMENTOS_EFICIENTES (BDD)'!G:G=E31)*('EQUIPAMENTOS_EFICIENTES (BDD)'!I:I=_xlfn.MINIFS('EQUIPAMENTOS_EFICIENTES (BDD)'!I:I,'EQUIPAMENTOS_EFICIENTES (BDD)'!G:G,E31,'EQUIPAMENTOS_EFICIENTES (BDD)'!I:I,"&gt;="&amp;G31)),0)),"")</f>
        <v>0</v>
      </c>
      <c r="AA31" s="405">
        <f t="shared" si="28"/>
        <v>0</v>
      </c>
      <c r="AB31" s="406">
        <f t="shared" si="29"/>
        <v>0</v>
      </c>
      <c r="AC31" s="407">
        <f t="shared" si="30"/>
        <v>0.7</v>
      </c>
      <c r="AD31" s="408">
        <f t="shared" si="31"/>
        <v>0</v>
      </c>
      <c r="AE31" s="408">
        <f t="shared" si="32"/>
        <v>0</v>
      </c>
      <c r="AF31" s="405">
        <f t="shared" si="33"/>
        <v>0</v>
      </c>
      <c r="AG31" s="405">
        <f t="shared" si="34"/>
        <v>0</v>
      </c>
      <c r="AH31" s="406">
        <f t="shared" si="35"/>
        <v>21.25</v>
      </c>
      <c r="AI31" s="406">
        <f t="shared" si="36"/>
        <v>0</v>
      </c>
      <c r="AJ31" s="406">
        <f t="shared" si="37"/>
        <v>0</v>
      </c>
      <c r="AK31" s="406">
        <f t="shared" si="38"/>
        <v>0</v>
      </c>
      <c r="AL31" s="406">
        <f t="shared" si="39"/>
        <v>0</v>
      </c>
      <c r="AM31" s="409">
        <f t="shared" si="40"/>
        <v>0</v>
      </c>
      <c r="AN31" s="410">
        <f t="shared" si="41"/>
        <v>0</v>
      </c>
      <c r="AO31" s="410">
        <f t="shared" si="42"/>
        <v>0</v>
      </c>
      <c r="AP31" s="411">
        <f t="shared" si="43"/>
        <v>0</v>
      </c>
      <c r="AQ31" s="410">
        <f t="shared" si="44"/>
        <v>0</v>
      </c>
      <c r="AR31" s="410">
        <f t="shared" si="45"/>
        <v>0</v>
      </c>
    </row>
    <row r="32" spans="1:44" s="64" customFormat="1" ht="15.75" customHeight="1" x14ac:dyDescent="0.25">
      <c r="A32" s="397" t="e">
        <f>IF(UC_DADOS!$B$2=0,"",UC_DADOS!$B$2)</f>
        <v>#N/A</v>
      </c>
      <c r="B32" s="398"/>
      <c r="C32" s="398"/>
      <c r="D32" s="398"/>
      <c r="E32" s="398"/>
      <c r="F32" s="398"/>
      <c r="G32" s="398"/>
      <c r="H32" s="398"/>
      <c r="I32" s="398"/>
      <c r="J32" s="399">
        <f t="shared" si="22"/>
        <v>0</v>
      </c>
      <c r="K32" s="400">
        <v>0.7</v>
      </c>
      <c r="L32" s="401">
        <f t="shared" si="23"/>
        <v>0</v>
      </c>
      <c r="M32" s="398"/>
      <c r="N32" s="402">
        <f t="shared" si="24"/>
        <v>0</v>
      </c>
      <c r="O32" s="403"/>
      <c r="P32" s="403"/>
      <c r="Q32" s="404">
        <v>21.25</v>
      </c>
      <c r="R32" s="403"/>
      <c r="S32" s="399">
        <f t="shared" si="25"/>
        <v>0</v>
      </c>
      <c r="T32" s="399">
        <f t="shared" si="26"/>
        <v>0</v>
      </c>
      <c r="U32" s="399">
        <f t="shared" si="27"/>
        <v>0</v>
      </c>
      <c r="V32" s="404">
        <f t="array" ref="V32">IF(F32="A",E32,IFERROR(INDEX('EQUIPAMENTOS_EFICIENTES (BDD)'!G:G,MATCH(1,('EQUIPAMENTOS_EFICIENTES (BDD)'!G:G=E32)*('EQUIPAMENTOS_EFICIENTES (BDD)'!I:I=_xlfn.MINIFS('EQUIPAMENTOS_EFICIENTES (BDD)'!I:I,'EQUIPAMENTOS_EFICIENTES (BDD)'!G:G,E32,'EQUIPAMENTOS_EFICIENTES (BDD)'!I:I,"&gt;="&amp;G32)),0)),"Substituição não encontrada"))</f>
        <v>0</v>
      </c>
      <c r="W32" s="404">
        <f t="array" ref="W32">IF(F32="A",F32,IFERROR(INDEX('EQUIPAMENTOS_EFICIENTES (BDD)'!H:H,MATCH(1,('EQUIPAMENTOS_EFICIENTES (BDD)'!G:G=E32)*('EQUIPAMENTOS_EFICIENTES (BDD)'!I:I=_xlfn.MINIFS('EQUIPAMENTOS_EFICIENTES (BDD)'!I:I,'EQUIPAMENTOS_EFICIENTES (BDD)'!G:G,E32,'EQUIPAMENTOS_EFICIENTES (BDD)'!I:I,"&gt;="&amp;G32)),0)),"Substituição não encontrada"))</f>
        <v>0</v>
      </c>
      <c r="X32" s="403">
        <f t="array" ref="X32">IF(F32="A",G32,IFERROR(INDEX('EQUIPAMENTOS_EFICIENTES (BDD)'!I:I,MATCH(1,('EQUIPAMENTOS_EFICIENTES (BDD)'!G:G=E32)*('EQUIPAMENTOS_EFICIENTES (BDD)'!I:I=_xlfn.MINIFS('EQUIPAMENTOS_EFICIENTES (BDD)'!I:I,'EQUIPAMENTOS_EFICIENTES (BDD)'!G:G,E32,'EQUIPAMENTOS_EFICIENTES (BDD)'!I:I,"&gt;="&amp;G32)),0)),"Substituição não encontrada"))</f>
        <v>0</v>
      </c>
      <c r="Y32" s="404">
        <f t="array" ref="Y32">IF(F32="A",H32,IFERROR(INDEX('EQUIPAMENTOS_EFICIENTES (BDD)'!J:J,MATCH(1,('EQUIPAMENTOS_EFICIENTES (BDD)'!G:G=E32)*('EQUIPAMENTOS_EFICIENTES (BDD)'!I:I=_xlfn.MINIFS('EQUIPAMENTOS_EFICIENTES (BDD)'!I:I,'EQUIPAMENTOS_EFICIENTES (BDD)'!G:G,E32,'EQUIPAMENTOS_EFICIENTES (BDD)'!I:I,"&gt;="&amp;G32)),0)),"Substituição não encontrada"))</f>
        <v>0</v>
      </c>
      <c r="Z32" s="404">
        <f t="array" ref="Z32">IFERROR(INDEX('EQUIPAMENTOS_EFICIENTES (BDD)'!K:K,MATCH(1,('EQUIPAMENTOS_EFICIENTES (BDD)'!G:G=E32)*('EQUIPAMENTOS_EFICIENTES (BDD)'!I:I=_xlfn.MINIFS('EQUIPAMENTOS_EFICIENTES (BDD)'!I:I,'EQUIPAMENTOS_EFICIENTES (BDD)'!G:G,E32,'EQUIPAMENTOS_EFICIENTES (BDD)'!I:I,"&gt;="&amp;G32)),0)),"")</f>
        <v>0</v>
      </c>
      <c r="AA32" s="405">
        <f t="shared" si="28"/>
        <v>0</v>
      </c>
      <c r="AB32" s="406">
        <f t="shared" si="29"/>
        <v>0</v>
      </c>
      <c r="AC32" s="407">
        <f t="shared" si="30"/>
        <v>0.7</v>
      </c>
      <c r="AD32" s="408">
        <f t="shared" si="31"/>
        <v>0</v>
      </c>
      <c r="AE32" s="408">
        <f t="shared" si="32"/>
        <v>0</v>
      </c>
      <c r="AF32" s="405">
        <f t="shared" si="33"/>
        <v>0</v>
      </c>
      <c r="AG32" s="405">
        <f t="shared" si="34"/>
        <v>0</v>
      </c>
      <c r="AH32" s="406">
        <f t="shared" si="35"/>
        <v>21.25</v>
      </c>
      <c r="AI32" s="406">
        <f t="shared" si="36"/>
        <v>0</v>
      </c>
      <c r="AJ32" s="406">
        <f t="shared" si="37"/>
        <v>0</v>
      </c>
      <c r="AK32" s="406">
        <f t="shared" si="38"/>
        <v>0</v>
      </c>
      <c r="AL32" s="406">
        <f t="shared" si="39"/>
        <v>0</v>
      </c>
      <c r="AM32" s="409">
        <f t="shared" si="40"/>
        <v>0</v>
      </c>
      <c r="AN32" s="410">
        <f t="shared" si="41"/>
        <v>0</v>
      </c>
      <c r="AO32" s="410">
        <f t="shared" si="42"/>
        <v>0</v>
      </c>
      <c r="AP32" s="411">
        <f t="shared" si="43"/>
        <v>0</v>
      </c>
      <c r="AQ32" s="410">
        <f t="shared" si="44"/>
        <v>0</v>
      </c>
      <c r="AR32" s="410">
        <f t="shared" si="45"/>
        <v>0</v>
      </c>
    </row>
    <row r="33" spans="1:44" s="64" customFormat="1" ht="15.75" customHeight="1" x14ac:dyDescent="0.25">
      <c r="A33" s="397" t="e">
        <f>IF(UC_DADOS!$B$2=0,"",UC_DADOS!$B$2)</f>
        <v>#N/A</v>
      </c>
      <c r="B33" s="398"/>
      <c r="C33" s="398"/>
      <c r="D33" s="398"/>
      <c r="E33" s="398"/>
      <c r="F33" s="398"/>
      <c r="G33" s="398"/>
      <c r="H33" s="398"/>
      <c r="I33" s="398"/>
      <c r="J33" s="399">
        <f t="shared" si="22"/>
        <v>0</v>
      </c>
      <c r="K33" s="400">
        <v>0.7</v>
      </c>
      <c r="L33" s="401">
        <f t="shared" si="23"/>
        <v>0</v>
      </c>
      <c r="M33" s="398"/>
      <c r="N33" s="402">
        <f t="shared" si="24"/>
        <v>0</v>
      </c>
      <c r="O33" s="403"/>
      <c r="P33" s="403"/>
      <c r="Q33" s="404">
        <v>21.25</v>
      </c>
      <c r="R33" s="403"/>
      <c r="S33" s="399">
        <f t="shared" si="25"/>
        <v>0</v>
      </c>
      <c r="T33" s="399">
        <f t="shared" si="26"/>
        <v>0</v>
      </c>
      <c r="U33" s="399">
        <f t="shared" si="27"/>
        <v>0</v>
      </c>
      <c r="V33" s="404">
        <f t="array" ref="V33">IF(F33="A",E33,IFERROR(INDEX('EQUIPAMENTOS_EFICIENTES (BDD)'!G:G,MATCH(1,('EQUIPAMENTOS_EFICIENTES (BDD)'!G:G=E33)*('EQUIPAMENTOS_EFICIENTES (BDD)'!I:I=_xlfn.MINIFS('EQUIPAMENTOS_EFICIENTES (BDD)'!I:I,'EQUIPAMENTOS_EFICIENTES (BDD)'!G:G,E33,'EQUIPAMENTOS_EFICIENTES (BDD)'!I:I,"&gt;="&amp;G33)),0)),"Substituição não encontrada"))</f>
        <v>0</v>
      </c>
      <c r="W33" s="404">
        <f t="array" ref="W33">IF(F33="A",F33,IFERROR(INDEX('EQUIPAMENTOS_EFICIENTES (BDD)'!H:H,MATCH(1,('EQUIPAMENTOS_EFICIENTES (BDD)'!G:G=E33)*('EQUIPAMENTOS_EFICIENTES (BDD)'!I:I=_xlfn.MINIFS('EQUIPAMENTOS_EFICIENTES (BDD)'!I:I,'EQUIPAMENTOS_EFICIENTES (BDD)'!G:G,E33,'EQUIPAMENTOS_EFICIENTES (BDD)'!I:I,"&gt;="&amp;G33)),0)),"Substituição não encontrada"))</f>
        <v>0</v>
      </c>
      <c r="X33" s="403">
        <f t="array" ref="X33">IF(F33="A",G33,IFERROR(INDEX('EQUIPAMENTOS_EFICIENTES (BDD)'!I:I,MATCH(1,('EQUIPAMENTOS_EFICIENTES (BDD)'!G:G=E33)*('EQUIPAMENTOS_EFICIENTES (BDD)'!I:I=_xlfn.MINIFS('EQUIPAMENTOS_EFICIENTES (BDD)'!I:I,'EQUIPAMENTOS_EFICIENTES (BDD)'!G:G,E33,'EQUIPAMENTOS_EFICIENTES (BDD)'!I:I,"&gt;="&amp;G33)),0)),"Substituição não encontrada"))</f>
        <v>0</v>
      </c>
      <c r="Y33" s="404">
        <f t="array" ref="Y33">IF(F33="A",H33,IFERROR(INDEX('EQUIPAMENTOS_EFICIENTES (BDD)'!J:J,MATCH(1,('EQUIPAMENTOS_EFICIENTES (BDD)'!G:G=E33)*('EQUIPAMENTOS_EFICIENTES (BDD)'!I:I=_xlfn.MINIFS('EQUIPAMENTOS_EFICIENTES (BDD)'!I:I,'EQUIPAMENTOS_EFICIENTES (BDD)'!G:G,E33,'EQUIPAMENTOS_EFICIENTES (BDD)'!I:I,"&gt;="&amp;G33)),0)),"Substituição não encontrada"))</f>
        <v>0</v>
      </c>
      <c r="Z33" s="404">
        <f t="array" ref="Z33">IFERROR(INDEX('EQUIPAMENTOS_EFICIENTES (BDD)'!K:K,MATCH(1,('EQUIPAMENTOS_EFICIENTES (BDD)'!G:G=E33)*('EQUIPAMENTOS_EFICIENTES (BDD)'!I:I=_xlfn.MINIFS('EQUIPAMENTOS_EFICIENTES (BDD)'!I:I,'EQUIPAMENTOS_EFICIENTES (BDD)'!G:G,E33,'EQUIPAMENTOS_EFICIENTES (BDD)'!I:I,"&gt;="&amp;G33)),0)),"")</f>
        <v>0</v>
      </c>
      <c r="AA33" s="405">
        <f t="shared" si="28"/>
        <v>0</v>
      </c>
      <c r="AB33" s="406">
        <f t="shared" si="29"/>
        <v>0</v>
      </c>
      <c r="AC33" s="407">
        <f t="shared" si="30"/>
        <v>0.7</v>
      </c>
      <c r="AD33" s="408">
        <f t="shared" si="31"/>
        <v>0</v>
      </c>
      <c r="AE33" s="408">
        <f t="shared" si="32"/>
        <v>0</v>
      </c>
      <c r="AF33" s="405">
        <f t="shared" si="33"/>
        <v>0</v>
      </c>
      <c r="AG33" s="405">
        <f t="shared" si="34"/>
        <v>0</v>
      </c>
      <c r="AH33" s="406">
        <f t="shared" si="35"/>
        <v>21.25</v>
      </c>
      <c r="AI33" s="406">
        <f t="shared" si="36"/>
        <v>0</v>
      </c>
      <c r="AJ33" s="406">
        <f t="shared" si="37"/>
        <v>0</v>
      </c>
      <c r="AK33" s="406">
        <f t="shared" si="38"/>
        <v>0</v>
      </c>
      <c r="AL33" s="406">
        <f t="shared" si="39"/>
        <v>0</v>
      </c>
      <c r="AM33" s="409">
        <f t="shared" si="40"/>
        <v>0</v>
      </c>
      <c r="AN33" s="410">
        <f t="shared" si="41"/>
        <v>0</v>
      </c>
      <c r="AO33" s="410">
        <f t="shared" si="42"/>
        <v>0</v>
      </c>
      <c r="AP33" s="411">
        <f t="shared" si="43"/>
        <v>0</v>
      </c>
      <c r="AQ33" s="410">
        <f t="shared" si="44"/>
        <v>0</v>
      </c>
      <c r="AR33" s="410">
        <f t="shared" si="45"/>
        <v>0</v>
      </c>
    </row>
    <row r="34" spans="1:44" s="64" customFormat="1" ht="15.75" customHeight="1" x14ac:dyDescent="0.25">
      <c r="A34" s="397" t="e">
        <f>IF(UC_DADOS!$B$2=0,"",UC_DADOS!$B$2)</f>
        <v>#N/A</v>
      </c>
      <c r="B34" s="398"/>
      <c r="C34" s="398"/>
      <c r="D34" s="398"/>
      <c r="E34" s="398"/>
      <c r="F34" s="398"/>
      <c r="G34" s="398"/>
      <c r="H34" s="398"/>
      <c r="I34" s="398"/>
      <c r="J34" s="399">
        <f t="shared" ref="J34:J44" si="46">IF(H34=0,0,((G34*0.293*I34)/(1000*H34)))</f>
        <v>0</v>
      </c>
      <c r="K34" s="400">
        <v>0.7</v>
      </c>
      <c r="L34" s="401">
        <f t="shared" si="0"/>
        <v>0</v>
      </c>
      <c r="M34" s="398"/>
      <c r="N34" s="402">
        <f t="shared" ref="N34:N44" si="47">M34*O34*Q34</f>
        <v>0</v>
      </c>
      <c r="O34" s="403"/>
      <c r="P34" s="403"/>
      <c r="Q34" s="404">
        <v>21.25</v>
      </c>
      <c r="R34" s="403"/>
      <c r="S34" s="399">
        <f t="shared" si="1"/>
        <v>0</v>
      </c>
      <c r="T34" s="399">
        <f t="shared" si="2"/>
        <v>0</v>
      </c>
      <c r="U34" s="399">
        <f t="shared" si="3"/>
        <v>0</v>
      </c>
      <c r="V34" s="404">
        <f t="array" ref="V34">IF(F34="A",E34,IFERROR(INDEX('EQUIPAMENTOS_EFICIENTES (BDD)'!G:G,MATCH(1,('EQUIPAMENTOS_EFICIENTES (BDD)'!G:G=E34)*('EQUIPAMENTOS_EFICIENTES (BDD)'!I:I=_xlfn.MINIFS('EQUIPAMENTOS_EFICIENTES (BDD)'!I:I,'EQUIPAMENTOS_EFICIENTES (BDD)'!G:G,E34,'EQUIPAMENTOS_EFICIENTES (BDD)'!I:I,"&gt;="&amp;G34)),0)),"Substituição não encontrada"))</f>
        <v>0</v>
      </c>
      <c r="W34" s="404">
        <f t="array" ref="W34">IF(F34="A",F34,IFERROR(INDEX('EQUIPAMENTOS_EFICIENTES (BDD)'!H:H,MATCH(1,('EQUIPAMENTOS_EFICIENTES (BDD)'!G:G=E34)*('EQUIPAMENTOS_EFICIENTES (BDD)'!I:I=_xlfn.MINIFS('EQUIPAMENTOS_EFICIENTES (BDD)'!I:I,'EQUIPAMENTOS_EFICIENTES (BDD)'!G:G,E34,'EQUIPAMENTOS_EFICIENTES (BDD)'!I:I,"&gt;="&amp;G34)),0)),"Substituição não encontrada"))</f>
        <v>0</v>
      </c>
      <c r="X34" s="403">
        <f t="array" ref="X34">IF(F34="A",G34,IFERROR(INDEX('EQUIPAMENTOS_EFICIENTES (BDD)'!I:I,MATCH(1,('EQUIPAMENTOS_EFICIENTES (BDD)'!G:G=E34)*('EQUIPAMENTOS_EFICIENTES (BDD)'!I:I=_xlfn.MINIFS('EQUIPAMENTOS_EFICIENTES (BDD)'!I:I,'EQUIPAMENTOS_EFICIENTES (BDD)'!G:G,E34,'EQUIPAMENTOS_EFICIENTES (BDD)'!I:I,"&gt;="&amp;G34)),0)),"Substituição não encontrada"))</f>
        <v>0</v>
      </c>
      <c r="Y34" s="404">
        <f t="array" ref="Y34">IF(F34="A",H34,IFERROR(INDEX('EQUIPAMENTOS_EFICIENTES (BDD)'!J:J,MATCH(1,('EQUIPAMENTOS_EFICIENTES (BDD)'!G:G=E34)*('EQUIPAMENTOS_EFICIENTES (BDD)'!I:I=_xlfn.MINIFS('EQUIPAMENTOS_EFICIENTES (BDD)'!I:I,'EQUIPAMENTOS_EFICIENTES (BDD)'!G:G,E34,'EQUIPAMENTOS_EFICIENTES (BDD)'!I:I,"&gt;="&amp;G34)),0)),"Substituição não encontrada"))</f>
        <v>0</v>
      </c>
      <c r="Z34" s="404">
        <f t="array" ref="Z34">IFERROR(INDEX('EQUIPAMENTOS_EFICIENTES (BDD)'!K:K,MATCH(1,('EQUIPAMENTOS_EFICIENTES (BDD)'!G:G=E34)*('EQUIPAMENTOS_EFICIENTES (BDD)'!I:I=_xlfn.MINIFS('EQUIPAMENTOS_EFICIENTES (BDD)'!I:I,'EQUIPAMENTOS_EFICIENTES (BDD)'!G:G,E34,'EQUIPAMENTOS_EFICIENTES (BDD)'!I:I,"&gt;="&amp;G34)),0)),"")</f>
        <v>0</v>
      </c>
      <c r="AA34" s="405">
        <f t="shared" si="4"/>
        <v>0</v>
      </c>
      <c r="AB34" s="406">
        <f t="shared" si="5"/>
        <v>0</v>
      </c>
      <c r="AC34" s="407">
        <f t="shared" si="6"/>
        <v>0.7</v>
      </c>
      <c r="AD34" s="408">
        <f t="shared" si="7"/>
        <v>0</v>
      </c>
      <c r="AE34" s="408">
        <f t="shared" si="8"/>
        <v>0</v>
      </c>
      <c r="AF34" s="405">
        <f t="shared" si="9"/>
        <v>0</v>
      </c>
      <c r="AG34" s="405">
        <f t="shared" si="10"/>
        <v>0</v>
      </c>
      <c r="AH34" s="406">
        <f t="shared" si="11"/>
        <v>21.25</v>
      </c>
      <c r="AI34" s="406">
        <f t="shared" si="12"/>
        <v>0</v>
      </c>
      <c r="AJ34" s="406">
        <f t="shared" si="13"/>
        <v>0</v>
      </c>
      <c r="AK34" s="406">
        <f t="shared" si="14"/>
        <v>0</v>
      </c>
      <c r="AL34" s="406">
        <f t="shared" si="15"/>
        <v>0</v>
      </c>
      <c r="AM34" s="409">
        <f t="shared" si="16"/>
        <v>0</v>
      </c>
      <c r="AN34" s="410">
        <f t="shared" si="17"/>
        <v>0</v>
      </c>
      <c r="AO34" s="410">
        <f t="shared" si="18"/>
        <v>0</v>
      </c>
      <c r="AP34" s="411">
        <f t="shared" si="19"/>
        <v>0</v>
      </c>
      <c r="AQ34" s="410">
        <f t="shared" si="20"/>
        <v>0</v>
      </c>
      <c r="AR34" s="410">
        <f t="shared" si="21"/>
        <v>0</v>
      </c>
    </row>
    <row r="35" spans="1:44" s="64" customFormat="1" ht="15.75" customHeight="1" x14ac:dyDescent="0.25">
      <c r="A35" s="397" t="e">
        <f>IF(UC_DADOS!$B$2=0,"",UC_DADOS!$B$2)</f>
        <v>#N/A</v>
      </c>
      <c r="B35" s="398"/>
      <c r="C35" s="398"/>
      <c r="D35" s="398"/>
      <c r="E35" s="398"/>
      <c r="F35" s="398"/>
      <c r="G35" s="398"/>
      <c r="H35" s="398"/>
      <c r="I35" s="398"/>
      <c r="J35" s="399">
        <f t="shared" si="46"/>
        <v>0</v>
      </c>
      <c r="K35" s="400">
        <v>0.7</v>
      </c>
      <c r="L35" s="401">
        <f t="shared" si="0"/>
        <v>0</v>
      </c>
      <c r="M35" s="398"/>
      <c r="N35" s="402">
        <f t="shared" si="47"/>
        <v>0</v>
      </c>
      <c r="O35" s="403"/>
      <c r="P35" s="403"/>
      <c r="Q35" s="404">
        <v>21.25</v>
      </c>
      <c r="R35" s="403"/>
      <c r="S35" s="399">
        <f t="shared" si="1"/>
        <v>0</v>
      </c>
      <c r="T35" s="399">
        <f t="shared" si="2"/>
        <v>0</v>
      </c>
      <c r="U35" s="399">
        <f t="shared" si="3"/>
        <v>0</v>
      </c>
      <c r="V35" s="404">
        <f t="array" ref="V35">IF(F35="A",E35,IFERROR(INDEX('EQUIPAMENTOS_EFICIENTES (BDD)'!G:G,MATCH(1,('EQUIPAMENTOS_EFICIENTES (BDD)'!G:G=E35)*('EQUIPAMENTOS_EFICIENTES (BDD)'!I:I=_xlfn.MINIFS('EQUIPAMENTOS_EFICIENTES (BDD)'!I:I,'EQUIPAMENTOS_EFICIENTES (BDD)'!G:G,E35,'EQUIPAMENTOS_EFICIENTES (BDD)'!I:I,"&gt;="&amp;G35)),0)),"Substituição não encontrada"))</f>
        <v>0</v>
      </c>
      <c r="W35" s="404">
        <f t="array" ref="W35">IF(F35="A",F35,IFERROR(INDEX('EQUIPAMENTOS_EFICIENTES (BDD)'!H:H,MATCH(1,('EQUIPAMENTOS_EFICIENTES (BDD)'!G:G=E35)*('EQUIPAMENTOS_EFICIENTES (BDD)'!I:I=_xlfn.MINIFS('EQUIPAMENTOS_EFICIENTES (BDD)'!I:I,'EQUIPAMENTOS_EFICIENTES (BDD)'!G:G,E35,'EQUIPAMENTOS_EFICIENTES (BDD)'!I:I,"&gt;="&amp;G35)),0)),"Substituição não encontrada"))</f>
        <v>0</v>
      </c>
      <c r="X35" s="403">
        <f t="array" ref="X35">IF(F35="A",G35,IFERROR(INDEX('EQUIPAMENTOS_EFICIENTES (BDD)'!I:I,MATCH(1,('EQUIPAMENTOS_EFICIENTES (BDD)'!G:G=E35)*('EQUIPAMENTOS_EFICIENTES (BDD)'!I:I=_xlfn.MINIFS('EQUIPAMENTOS_EFICIENTES (BDD)'!I:I,'EQUIPAMENTOS_EFICIENTES (BDD)'!G:G,E35,'EQUIPAMENTOS_EFICIENTES (BDD)'!I:I,"&gt;="&amp;G35)),0)),"Substituição não encontrada"))</f>
        <v>0</v>
      </c>
      <c r="Y35" s="404">
        <f t="array" ref="Y35">IF(F35="A",H35,IFERROR(INDEX('EQUIPAMENTOS_EFICIENTES (BDD)'!J:J,MATCH(1,('EQUIPAMENTOS_EFICIENTES (BDD)'!G:G=E35)*('EQUIPAMENTOS_EFICIENTES (BDD)'!I:I=_xlfn.MINIFS('EQUIPAMENTOS_EFICIENTES (BDD)'!I:I,'EQUIPAMENTOS_EFICIENTES (BDD)'!G:G,E35,'EQUIPAMENTOS_EFICIENTES (BDD)'!I:I,"&gt;="&amp;G35)),0)),"Substituição não encontrada"))</f>
        <v>0</v>
      </c>
      <c r="Z35" s="404">
        <f t="array" ref="Z35">IFERROR(INDEX('EQUIPAMENTOS_EFICIENTES (BDD)'!K:K,MATCH(1,('EQUIPAMENTOS_EFICIENTES (BDD)'!G:G=E35)*('EQUIPAMENTOS_EFICIENTES (BDD)'!I:I=_xlfn.MINIFS('EQUIPAMENTOS_EFICIENTES (BDD)'!I:I,'EQUIPAMENTOS_EFICIENTES (BDD)'!G:G,E35,'EQUIPAMENTOS_EFICIENTES (BDD)'!I:I,"&gt;="&amp;G35)),0)),"")</f>
        <v>0</v>
      </c>
      <c r="AA35" s="405">
        <f t="shared" si="4"/>
        <v>0</v>
      </c>
      <c r="AB35" s="406">
        <f t="shared" si="5"/>
        <v>0</v>
      </c>
      <c r="AC35" s="407">
        <f t="shared" si="6"/>
        <v>0.7</v>
      </c>
      <c r="AD35" s="408">
        <f t="shared" si="7"/>
        <v>0</v>
      </c>
      <c r="AE35" s="408">
        <f t="shared" si="8"/>
        <v>0</v>
      </c>
      <c r="AF35" s="405">
        <f t="shared" si="9"/>
        <v>0</v>
      </c>
      <c r="AG35" s="405">
        <f t="shared" si="10"/>
        <v>0</v>
      </c>
      <c r="AH35" s="406">
        <f t="shared" si="11"/>
        <v>21.25</v>
      </c>
      <c r="AI35" s="406">
        <f t="shared" si="12"/>
        <v>0</v>
      </c>
      <c r="AJ35" s="406">
        <f t="shared" si="13"/>
        <v>0</v>
      </c>
      <c r="AK35" s="406">
        <f t="shared" si="14"/>
        <v>0</v>
      </c>
      <c r="AL35" s="406">
        <f t="shared" si="15"/>
        <v>0</v>
      </c>
      <c r="AM35" s="409">
        <f t="shared" si="16"/>
        <v>0</v>
      </c>
      <c r="AN35" s="410">
        <f t="shared" si="17"/>
        <v>0</v>
      </c>
      <c r="AO35" s="410">
        <f t="shared" si="18"/>
        <v>0</v>
      </c>
      <c r="AP35" s="411">
        <f t="shared" si="19"/>
        <v>0</v>
      </c>
      <c r="AQ35" s="410">
        <f t="shared" si="20"/>
        <v>0</v>
      </c>
      <c r="AR35" s="410">
        <f t="shared" si="21"/>
        <v>0</v>
      </c>
    </row>
    <row r="36" spans="1:44" s="64" customFormat="1" ht="15.75" customHeight="1" x14ac:dyDescent="0.25">
      <c r="A36" s="397" t="e">
        <f>IF(UC_DADOS!$B$2=0,"",UC_DADOS!$B$2)</f>
        <v>#N/A</v>
      </c>
      <c r="B36" s="398"/>
      <c r="C36" s="398"/>
      <c r="D36" s="398"/>
      <c r="E36" s="398"/>
      <c r="F36" s="398"/>
      <c r="G36" s="398"/>
      <c r="H36" s="398"/>
      <c r="I36" s="398"/>
      <c r="J36" s="399">
        <f t="shared" si="46"/>
        <v>0</v>
      </c>
      <c r="K36" s="400">
        <v>0.7</v>
      </c>
      <c r="L36" s="401">
        <f t="shared" si="0"/>
        <v>0</v>
      </c>
      <c r="M36" s="398"/>
      <c r="N36" s="402">
        <f t="shared" si="47"/>
        <v>0</v>
      </c>
      <c r="O36" s="403"/>
      <c r="P36" s="403"/>
      <c r="Q36" s="404">
        <v>21.25</v>
      </c>
      <c r="R36" s="403"/>
      <c r="S36" s="399">
        <f t="shared" si="1"/>
        <v>0</v>
      </c>
      <c r="T36" s="399">
        <f t="shared" si="2"/>
        <v>0</v>
      </c>
      <c r="U36" s="399">
        <f t="shared" si="3"/>
        <v>0</v>
      </c>
      <c r="V36" s="404">
        <f t="array" ref="V36">IF(F36="A",E36,IFERROR(INDEX('EQUIPAMENTOS_EFICIENTES (BDD)'!G:G,MATCH(1,('EQUIPAMENTOS_EFICIENTES (BDD)'!G:G=E36)*('EQUIPAMENTOS_EFICIENTES (BDD)'!I:I=_xlfn.MINIFS('EQUIPAMENTOS_EFICIENTES (BDD)'!I:I,'EQUIPAMENTOS_EFICIENTES (BDD)'!G:G,E36,'EQUIPAMENTOS_EFICIENTES (BDD)'!I:I,"&gt;="&amp;G36)),0)),"Substituição não encontrada"))</f>
        <v>0</v>
      </c>
      <c r="W36" s="404">
        <f t="array" ref="W36">IF(F36="A",F36,IFERROR(INDEX('EQUIPAMENTOS_EFICIENTES (BDD)'!H:H,MATCH(1,('EQUIPAMENTOS_EFICIENTES (BDD)'!G:G=E36)*('EQUIPAMENTOS_EFICIENTES (BDD)'!I:I=_xlfn.MINIFS('EQUIPAMENTOS_EFICIENTES (BDD)'!I:I,'EQUIPAMENTOS_EFICIENTES (BDD)'!G:G,E36,'EQUIPAMENTOS_EFICIENTES (BDD)'!I:I,"&gt;="&amp;G36)),0)),"Substituição não encontrada"))</f>
        <v>0</v>
      </c>
      <c r="X36" s="403">
        <f t="array" ref="X36">IF(F36="A",G36,IFERROR(INDEX('EQUIPAMENTOS_EFICIENTES (BDD)'!I:I,MATCH(1,('EQUIPAMENTOS_EFICIENTES (BDD)'!G:G=E36)*('EQUIPAMENTOS_EFICIENTES (BDD)'!I:I=_xlfn.MINIFS('EQUIPAMENTOS_EFICIENTES (BDD)'!I:I,'EQUIPAMENTOS_EFICIENTES (BDD)'!G:G,E36,'EQUIPAMENTOS_EFICIENTES (BDD)'!I:I,"&gt;="&amp;G36)),0)),"Substituição não encontrada"))</f>
        <v>0</v>
      </c>
      <c r="Y36" s="404">
        <f t="array" ref="Y36">IF(F36="A",H36,IFERROR(INDEX('EQUIPAMENTOS_EFICIENTES (BDD)'!J:J,MATCH(1,('EQUIPAMENTOS_EFICIENTES (BDD)'!G:G=E36)*('EQUIPAMENTOS_EFICIENTES (BDD)'!I:I=_xlfn.MINIFS('EQUIPAMENTOS_EFICIENTES (BDD)'!I:I,'EQUIPAMENTOS_EFICIENTES (BDD)'!G:G,E36,'EQUIPAMENTOS_EFICIENTES (BDD)'!I:I,"&gt;="&amp;G36)),0)),"Substituição não encontrada"))</f>
        <v>0</v>
      </c>
      <c r="Z36" s="404">
        <f t="array" ref="Z36">IFERROR(INDEX('EQUIPAMENTOS_EFICIENTES (BDD)'!K:K,MATCH(1,('EQUIPAMENTOS_EFICIENTES (BDD)'!G:G=E36)*('EQUIPAMENTOS_EFICIENTES (BDD)'!I:I=_xlfn.MINIFS('EQUIPAMENTOS_EFICIENTES (BDD)'!I:I,'EQUIPAMENTOS_EFICIENTES (BDD)'!G:G,E36,'EQUIPAMENTOS_EFICIENTES (BDD)'!I:I,"&gt;="&amp;G36)),0)),"")</f>
        <v>0</v>
      </c>
      <c r="AA36" s="405">
        <f t="shared" ref="AA36:AA39" si="48">I36</f>
        <v>0</v>
      </c>
      <c r="AB36" s="406">
        <f t="shared" ref="AB36:AB39" si="49">IF(Y36=0,0,((X36*0.293*AA36)/(1000*Y36)))</f>
        <v>0</v>
      </c>
      <c r="AC36" s="407">
        <f t="shared" ref="AC36:AC39" si="50">K36</f>
        <v>0.7</v>
      </c>
      <c r="AD36" s="408">
        <f t="shared" ref="AD36:AD39" si="51">AB36*AC36</f>
        <v>0</v>
      </c>
      <c r="AE36" s="408">
        <f t="shared" ref="AE36:AE39" si="52">M36</f>
        <v>0</v>
      </c>
      <c r="AF36" s="405">
        <f t="shared" si="9"/>
        <v>0</v>
      </c>
      <c r="AG36" s="405">
        <f t="shared" ref="AG36:AG39" si="53">O36</f>
        <v>0</v>
      </c>
      <c r="AH36" s="406">
        <f t="shared" si="11"/>
        <v>21.25</v>
      </c>
      <c r="AI36" s="406">
        <f t="shared" ref="AI36:AI39" si="54">R36</f>
        <v>0</v>
      </c>
      <c r="AJ36" s="406">
        <f t="shared" ref="AJ36:AJ39" si="55">S36</f>
        <v>0</v>
      </c>
      <c r="AK36" s="406">
        <f t="shared" ref="AK36:AK39" si="56">AD36*AF36/1000</f>
        <v>0</v>
      </c>
      <c r="AL36" s="406">
        <f t="shared" ref="AL36:AL39" si="57">AJ36*AD36</f>
        <v>0</v>
      </c>
      <c r="AM36" s="409">
        <f t="shared" ref="AM36:AM39" si="58">U36-AL36</f>
        <v>0</v>
      </c>
      <c r="AN36" s="410">
        <f t="shared" ref="AN36:AN39" si="59">T36-AK36</f>
        <v>0</v>
      </c>
      <c r="AO36" s="410">
        <f t="shared" ref="AO36:AO39" si="60">IF(AN36&lt;&gt;0,Z36*AA36,0)</f>
        <v>0</v>
      </c>
      <c r="AP36" s="411">
        <f t="shared" ref="AP36:AP39" si="61">AN36/478.332</f>
        <v>0</v>
      </c>
      <c r="AQ36" s="410">
        <f t="shared" ref="AQ36:AQ39" si="62">T36*0.9</f>
        <v>0</v>
      </c>
      <c r="AR36" s="410">
        <f t="shared" ref="AR36:AR39" si="63">AK36*0.9</f>
        <v>0</v>
      </c>
    </row>
    <row r="37" spans="1:44" s="64" customFormat="1" ht="15.75" customHeight="1" x14ac:dyDescent="0.25">
      <c r="A37" s="397" t="e">
        <f>IF(UC_DADOS!$B$2=0,"",UC_DADOS!$B$2)</f>
        <v>#N/A</v>
      </c>
      <c r="B37" s="398"/>
      <c r="C37" s="398"/>
      <c r="D37" s="398"/>
      <c r="E37" s="398"/>
      <c r="F37" s="398"/>
      <c r="G37" s="398"/>
      <c r="H37" s="398"/>
      <c r="I37" s="398"/>
      <c r="J37" s="399">
        <f t="shared" si="46"/>
        <v>0</v>
      </c>
      <c r="K37" s="400">
        <v>0.7</v>
      </c>
      <c r="L37" s="401">
        <f t="shared" si="0"/>
        <v>0</v>
      </c>
      <c r="M37" s="398"/>
      <c r="N37" s="402">
        <f t="shared" si="47"/>
        <v>0</v>
      </c>
      <c r="O37" s="403"/>
      <c r="P37" s="403"/>
      <c r="Q37" s="404">
        <v>21.25</v>
      </c>
      <c r="R37" s="403"/>
      <c r="S37" s="399">
        <f t="shared" si="1"/>
        <v>0</v>
      </c>
      <c r="T37" s="399">
        <f t="shared" si="2"/>
        <v>0</v>
      </c>
      <c r="U37" s="399">
        <f t="shared" si="3"/>
        <v>0</v>
      </c>
      <c r="V37" s="404">
        <f t="array" ref="V37">IF(F37="A",E37,IFERROR(INDEX('EQUIPAMENTOS_EFICIENTES (BDD)'!G:G,MATCH(1,('EQUIPAMENTOS_EFICIENTES (BDD)'!G:G=E37)*('EQUIPAMENTOS_EFICIENTES (BDD)'!I:I=_xlfn.MINIFS('EQUIPAMENTOS_EFICIENTES (BDD)'!I:I,'EQUIPAMENTOS_EFICIENTES (BDD)'!G:G,E37,'EQUIPAMENTOS_EFICIENTES (BDD)'!I:I,"&gt;="&amp;G37)),0)),"Substituição não encontrada"))</f>
        <v>0</v>
      </c>
      <c r="W37" s="404">
        <f t="array" ref="W37">IF(F37="A",F37,IFERROR(INDEX('EQUIPAMENTOS_EFICIENTES (BDD)'!H:H,MATCH(1,('EQUIPAMENTOS_EFICIENTES (BDD)'!G:G=E37)*('EQUIPAMENTOS_EFICIENTES (BDD)'!I:I=_xlfn.MINIFS('EQUIPAMENTOS_EFICIENTES (BDD)'!I:I,'EQUIPAMENTOS_EFICIENTES (BDD)'!G:G,E37,'EQUIPAMENTOS_EFICIENTES (BDD)'!I:I,"&gt;="&amp;G37)),0)),"Substituição não encontrada"))</f>
        <v>0</v>
      </c>
      <c r="X37" s="403">
        <f t="array" ref="X37">IF(F37="A",G37,IFERROR(INDEX('EQUIPAMENTOS_EFICIENTES (BDD)'!I:I,MATCH(1,('EQUIPAMENTOS_EFICIENTES (BDD)'!G:G=E37)*('EQUIPAMENTOS_EFICIENTES (BDD)'!I:I=_xlfn.MINIFS('EQUIPAMENTOS_EFICIENTES (BDD)'!I:I,'EQUIPAMENTOS_EFICIENTES (BDD)'!G:G,E37,'EQUIPAMENTOS_EFICIENTES (BDD)'!I:I,"&gt;="&amp;G37)),0)),"Substituição não encontrada"))</f>
        <v>0</v>
      </c>
      <c r="Y37" s="404">
        <f t="array" ref="Y37">IF(F37="A",H37,IFERROR(INDEX('EQUIPAMENTOS_EFICIENTES (BDD)'!J:J,MATCH(1,('EQUIPAMENTOS_EFICIENTES (BDD)'!G:G=E37)*('EQUIPAMENTOS_EFICIENTES (BDD)'!I:I=_xlfn.MINIFS('EQUIPAMENTOS_EFICIENTES (BDD)'!I:I,'EQUIPAMENTOS_EFICIENTES (BDD)'!G:G,E37,'EQUIPAMENTOS_EFICIENTES (BDD)'!I:I,"&gt;="&amp;G37)),0)),"Substituição não encontrada"))</f>
        <v>0</v>
      </c>
      <c r="Z37" s="404">
        <f t="array" ref="Z37">IFERROR(INDEX('EQUIPAMENTOS_EFICIENTES (BDD)'!K:K,MATCH(1,('EQUIPAMENTOS_EFICIENTES (BDD)'!G:G=E37)*('EQUIPAMENTOS_EFICIENTES (BDD)'!I:I=_xlfn.MINIFS('EQUIPAMENTOS_EFICIENTES (BDD)'!I:I,'EQUIPAMENTOS_EFICIENTES (BDD)'!G:G,E37,'EQUIPAMENTOS_EFICIENTES (BDD)'!I:I,"&gt;="&amp;G37)),0)),"")</f>
        <v>0</v>
      </c>
      <c r="AA37" s="405">
        <f t="shared" si="48"/>
        <v>0</v>
      </c>
      <c r="AB37" s="406">
        <f t="shared" si="49"/>
        <v>0</v>
      </c>
      <c r="AC37" s="407">
        <f t="shared" si="50"/>
        <v>0.7</v>
      </c>
      <c r="AD37" s="408">
        <f t="shared" si="51"/>
        <v>0</v>
      </c>
      <c r="AE37" s="408">
        <f t="shared" si="52"/>
        <v>0</v>
      </c>
      <c r="AF37" s="405">
        <f t="shared" si="9"/>
        <v>0</v>
      </c>
      <c r="AG37" s="405">
        <f t="shared" si="53"/>
        <v>0</v>
      </c>
      <c r="AH37" s="406">
        <f t="shared" si="11"/>
        <v>21.25</v>
      </c>
      <c r="AI37" s="406">
        <f t="shared" si="54"/>
        <v>0</v>
      </c>
      <c r="AJ37" s="406">
        <f t="shared" si="55"/>
        <v>0</v>
      </c>
      <c r="AK37" s="406">
        <f t="shared" si="56"/>
        <v>0</v>
      </c>
      <c r="AL37" s="406">
        <f t="shared" si="57"/>
        <v>0</v>
      </c>
      <c r="AM37" s="409">
        <f t="shared" si="58"/>
        <v>0</v>
      </c>
      <c r="AN37" s="410">
        <f t="shared" si="59"/>
        <v>0</v>
      </c>
      <c r="AO37" s="410">
        <f t="shared" si="60"/>
        <v>0</v>
      </c>
      <c r="AP37" s="411">
        <f t="shared" si="61"/>
        <v>0</v>
      </c>
      <c r="AQ37" s="410">
        <f t="shared" si="62"/>
        <v>0</v>
      </c>
      <c r="AR37" s="410">
        <f t="shared" si="63"/>
        <v>0</v>
      </c>
    </row>
    <row r="38" spans="1:44" s="64" customFormat="1" ht="15.75" customHeight="1" x14ac:dyDescent="0.25">
      <c r="A38" s="397" t="e">
        <f>IF(UC_DADOS!$B$2=0,"",UC_DADOS!$B$2)</f>
        <v>#N/A</v>
      </c>
      <c r="B38" s="398"/>
      <c r="C38" s="398"/>
      <c r="D38" s="398"/>
      <c r="E38" s="398"/>
      <c r="F38" s="398"/>
      <c r="G38" s="398"/>
      <c r="H38" s="398"/>
      <c r="I38" s="398"/>
      <c r="J38" s="399">
        <f t="shared" si="46"/>
        <v>0</v>
      </c>
      <c r="K38" s="400">
        <v>0.7</v>
      </c>
      <c r="L38" s="401">
        <f t="shared" si="0"/>
        <v>0</v>
      </c>
      <c r="M38" s="398"/>
      <c r="N38" s="402">
        <f t="shared" si="47"/>
        <v>0</v>
      </c>
      <c r="O38" s="403"/>
      <c r="P38" s="403"/>
      <c r="Q38" s="404">
        <v>21.25</v>
      </c>
      <c r="R38" s="403"/>
      <c r="S38" s="399">
        <f t="shared" si="1"/>
        <v>0</v>
      </c>
      <c r="T38" s="399">
        <f t="shared" si="2"/>
        <v>0</v>
      </c>
      <c r="U38" s="399">
        <f t="shared" si="3"/>
        <v>0</v>
      </c>
      <c r="V38" s="404">
        <f t="array" ref="V38">IF(F38="A",E38,IFERROR(INDEX('EQUIPAMENTOS_EFICIENTES (BDD)'!G:G,MATCH(1,('EQUIPAMENTOS_EFICIENTES (BDD)'!G:G=E38)*('EQUIPAMENTOS_EFICIENTES (BDD)'!I:I=_xlfn.MINIFS('EQUIPAMENTOS_EFICIENTES (BDD)'!I:I,'EQUIPAMENTOS_EFICIENTES (BDD)'!G:G,E38,'EQUIPAMENTOS_EFICIENTES (BDD)'!I:I,"&gt;="&amp;G38)),0)),"Substituição não encontrada"))</f>
        <v>0</v>
      </c>
      <c r="W38" s="404">
        <f t="array" ref="W38">IF(F38="A",F38,IFERROR(INDEX('EQUIPAMENTOS_EFICIENTES (BDD)'!H:H,MATCH(1,('EQUIPAMENTOS_EFICIENTES (BDD)'!G:G=E38)*('EQUIPAMENTOS_EFICIENTES (BDD)'!I:I=_xlfn.MINIFS('EQUIPAMENTOS_EFICIENTES (BDD)'!I:I,'EQUIPAMENTOS_EFICIENTES (BDD)'!G:G,E38,'EQUIPAMENTOS_EFICIENTES (BDD)'!I:I,"&gt;="&amp;G38)),0)),"Substituição não encontrada"))</f>
        <v>0</v>
      </c>
      <c r="X38" s="403">
        <f t="array" ref="X38">IF(F38="A",G38,IFERROR(INDEX('EQUIPAMENTOS_EFICIENTES (BDD)'!I:I,MATCH(1,('EQUIPAMENTOS_EFICIENTES (BDD)'!G:G=E38)*('EQUIPAMENTOS_EFICIENTES (BDD)'!I:I=_xlfn.MINIFS('EQUIPAMENTOS_EFICIENTES (BDD)'!I:I,'EQUIPAMENTOS_EFICIENTES (BDD)'!G:G,E38,'EQUIPAMENTOS_EFICIENTES (BDD)'!I:I,"&gt;="&amp;G38)),0)),"Substituição não encontrada"))</f>
        <v>0</v>
      </c>
      <c r="Y38" s="404">
        <f t="array" ref="Y38">IF(F38="A",H38,IFERROR(INDEX('EQUIPAMENTOS_EFICIENTES (BDD)'!J:J,MATCH(1,('EQUIPAMENTOS_EFICIENTES (BDD)'!G:G=E38)*('EQUIPAMENTOS_EFICIENTES (BDD)'!I:I=_xlfn.MINIFS('EQUIPAMENTOS_EFICIENTES (BDD)'!I:I,'EQUIPAMENTOS_EFICIENTES (BDD)'!G:G,E38,'EQUIPAMENTOS_EFICIENTES (BDD)'!I:I,"&gt;="&amp;G38)),0)),"Substituição não encontrada"))</f>
        <v>0</v>
      </c>
      <c r="Z38" s="404">
        <f t="array" ref="Z38">IFERROR(INDEX('EQUIPAMENTOS_EFICIENTES (BDD)'!K:K,MATCH(1,('EQUIPAMENTOS_EFICIENTES (BDD)'!G:G=E38)*('EQUIPAMENTOS_EFICIENTES (BDD)'!I:I=_xlfn.MINIFS('EQUIPAMENTOS_EFICIENTES (BDD)'!I:I,'EQUIPAMENTOS_EFICIENTES (BDD)'!G:G,E38,'EQUIPAMENTOS_EFICIENTES (BDD)'!I:I,"&gt;="&amp;G38)),0)),"")</f>
        <v>0</v>
      </c>
      <c r="AA38" s="405">
        <f t="shared" si="48"/>
        <v>0</v>
      </c>
      <c r="AB38" s="406">
        <f t="shared" si="49"/>
        <v>0</v>
      </c>
      <c r="AC38" s="407">
        <f t="shared" si="50"/>
        <v>0.7</v>
      </c>
      <c r="AD38" s="408">
        <f t="shared" si="51"/>
        <v>0</v>
      </c>
      <c r="AE38" s="408">
        <f t="shared" si="52"/>
        <v>0</v>
      </c>
      <c r="AF38" s="405">
        <f t="shared" si="9"/>
        <v>0</v>
      </c>
      <c r="AG38" s="405">
        <f t="shared" si="53"/>
        <v>0</v>
      </c>
      <c r="AH38" s="406">
        <f t="shared" si="11"/>
        <v>21.25</v>
      </c>
      <c r="AI38" s="406">
        <f t="shared" si="54"/>
        <v>0</v>
      </c>
      <c r="AJ38" s="406">
        <f t="shared" si="55"/>
        <v>0</v>
      </c>
      <c r="AK38" s="406">
        <f t="shared" si="56"/>
        <v>0</v>
      </c>
      <c r="AL38" s="406">
        <f t="shared" si="57"/>
        <v>0</v>
      </c>
      <c r="AM38" s="409">
        <f t="shared" si="58"/>
        <v>0</v>
      </c>
      <c r="AN38" s="410">
        <f t="shared" si="59"/>
        <v>0</v>
      </c>
      <c r="AO38" s="410">
        <f t="shared" si="60"/>
        <v>0</v>
      </c>
      <c r="AP38" s="411">
        <f t="shared" si="61"/>
        <v>0</v>
      </c>
      <c r="AQ38" s="410">
        <f t="shared" si="62"/>
        <v>0</v>
      </c>
      <c r="AR38" s="410">
        <f t="shared" si="63"/>
        <v>0</v>
      </c>
    </row>
    <row r="39" spans="1:44" s="64" customFormat="1" ht="15.75" customHeight="1" x14ac:dyDescent="0.25">
      <c r="A39" s="397" t="e">
        <f>IF(UC_DADOS!$B$2=0,"",UC_DADOS!$B$2)</f>
        <v>#N/A</v>
      </c>
      <c r="B39" s="398"/>
      <c r="C39" s="398"/>
      <c r="D39" s="398"/>
      <c r="E39" s="398"/>
      <c r="F39" s="398"/>
      <c r="G39" s="398"/>
      <c r="H39" s="398"/>
      <c r="I39" s="398"/>
      <c r="J39" s="399">
        <f t="shared" si="46"/>
        <v>0</v>
      </c>
      <c r="K39" s="400">
        <v>0.7</v>
      </c>
      <c r="L39" s="401">
        <f t="shared" si="0"/>
        <v>0</v>
      </c>
      <c r="M39" s="398"/>
      <c r="N39" s="402">
        <f t="shared" si="47"/>
        <v>0</v>
      </c>
      <c r="O39" s="403"/>
      <c r="P39" s="403"/>
      <c r="Q39" s="404">
        <v>21.25</v>
      </c>
      <c r="R39" s="403"/>
      <c r="S39" s="399">
        <f t="shared" si="1"/>
        <v>0</v>
      </c>
      <c r="T39" s="399">
        <f t="shared" si="2"/>
        <v>0</v>
      </c>
      <c r="U39" s="399">
        <f t="shared" si="3"/>
        <v>0</v>
      </c>
      <c r="V39" s="404">
        <f t="array" ref="V39">IF(F39="A",E39,IFERROR(INDEX('EQUIPAMENTOS_EFICIENTES (BDD)'!G:G,MATCH(1,('EQUIPAMENTOS_EFICIENTES (BDD)'!G:G=E39)*('EQUIPAMENTOS_EFICIENTES (BDD)'!I:I=_xlfn.MINIFS('EQUIPAMENTOS_EFICIENTES (BDD)'!I:I,'EQUIPAMENTOS_EFICIENTES (BDD)'!G:G,E39,'EQUIPAMENTOS_EFICIENTES (BDD)'!I:I,"&gt;="&amp;G39)),0)),"Substituição não encontrada"))</f>
        <v>0</v>
      </c>
      <c r="W39" s="404">
        <f t="array" ref="W39">IF(F39="A",F39,IFERROR(INDEX('EQUIPAMENTOS_EFICIENTES (BDD)'!H:H,MATCH(1,('EQUIPAMENTOS_EFICIENTES (BDD)'!G:G=E39)*('EQUIPAMENTOS_EFICIENTES (BDD)'!I:I=_xlfn.MINIFS('EQUIPAMENTOS_EFICIENTES (BDD)'!I:I,'EQUIPAMENTOS_EFICIENTES (BDD)'!G:G,E39,'EQUIPAMENTOS_EFICIENTES (BDD)'!I:I,"&gt;="&amp;G39)),0)),"Substituição não encontrada"))</f>
        <v>0</v>
      </c>
      <c r="X39" s="403">
        <f t="array" ref="X39">IF(F39="A",G39,IFERROR(INDEX('EQUIPAMENTOS_EFICIENTES (BDD)'!I:I,MATCH(1,('EQUIPAMENTOS_EFICIENTES (BDD)'!G:G=E39)*('EQUIPAMENTOS_EFICIENTES (BDD)'!I:I=_xlfn.MINIFS('EQUIPAMENTOS_EFICIENTES (BDD)'!I:I,'EQUIPAMENTOS_EFICIENTES (BDD)'!G:G,E39,'EQUIPAMENTOS_EFICIENTES (BDD)'!I:I,"&gt;="&amp;G39)),0)),"Substituição não encontrada"))</f>
        <v>0</v>
      </c>
      <c r="Y39" s="404">
        <f t="array" ref="Y39">IF(F39="A",H39,IFERROR(INDEX('EQUIPAMENTOS_EFICIENTES (BDD)'!J:J,MATCH(1,('EQUIPAMENTOS_EFICIENTES (BDD)'!G:G=E39)*('EQUIPAMENTOS_EFICIENTES (BDD)'!I:I=_xlfn.MINIFS('EQUIPAMENTOS_EFICIENTES (BDD)'!I:I,'EQUIPAMENTOS_EFICIENTES (BDD)'!G:G,E39,'EQUIPAMENTOS_EFICIENTES (BDD)'!I:I,"&gt;="&amp;G39)),0)),"Substituição não encontrada"))</f>
        <v>0</v>
      </c>
      <c r="Z39" s="404">
        <f t="array" ref="Z39">IFERROR(INDEX('EQUIPAMENTOS_EFICIENTES (BDD)'!K:K,MATCH(1,('EQUIPAMENTOS_EFICIENTES (BDD)'!G:G=E39)*('EQUIPAMENTOS_EFICIENTES (BDD)'!I:I=_xlfn.MINIFS('EQUIPAMENTOS_EFICIENTES (BDD)'!I:I,'EQUIPAMENTOS_EFICIENTES (BDD)'!G:G,E39,'EQUIPAMENTOS_EFICIENTES (BDD)'!I:I,"&gt;="&amp;G39)),0)),"")</f>
        <v>0</v>
      </c>
      <c r="AA39" s="405">
        <f t="shared" si="48"/>
        <v>0</v>
      </c>
      <c r="AB39" s="406">
        <f t="shared" si="49"/>
        <v>0</v>
      </c>
      <c r="AC39" s="407">
        <f t="shared" si="50"/>
        <v>0.7</v>
      </c>
      <c r="AD39" s="408">
        <f t="shared" si="51"/>
        <v>0</v>
      </c>
      <c r="AE39" s="408">
        <f t="shared" si="52"/>
        <v>0</v>
      </c>
      <c r="AF39" s="405">
        <f t="shared" si="9"/>
        <v>0</v>
      </c>
      <c r="AG39" s="405">
        <f t="shared" si="53"/>
        <v>0</v>
      </c>
      <c r="AH39" s="406">
        <f t="shared" si="11"/>
        <v>21.25</v>
      </c>
      <c r="AI39" s="406">
        <f t="shared" si="54"/>
        <v>0</v>
      </c>
      <c r="AJ39" s="406">
        <f t="shared" si="55"/>
        <v>0</v>
      </c>
      <c r="AK39" s="406">
        <f t="shared" si="56"/>
        <v>0</v>
      </c>
      <c r="AL39" s="406">
        <f t="shared" si="57"/>
        <v>0</v>
      </c>
      <c r="AM39" s="409">
        <f t="shared" si="58"/>
        <v>0</v>
      </c>
      <c r="AN39" s="410">
        <f t="shared" si="59"/>
        <v>0</v>
      </c>
      <c r="AO39" s="410">
        <f t="shared" si="60"/>
        <v>0</v>
      </c>
      <c r="AP39" s="411">
        <f t="shared" si="61"/>
        <v>0</v>
      </c>
      <c r="AQ39" s="410">
        <f t="shared" si="62"/>
        <v>0</v>
      </c>
      <c r="AR39" s="410">
        <f t="shared" si="63"/>
        <v>0</v>
      </c>
    </row>
    <row r="40" spans="1:44" s="64" customFormat="1" ht="15.75" customHeight="1" x14ac:dyDescent="0.25">
      <c r="A40" s="397" t="e">
        <f>IF(UC_DADOS!$B$2=0,"",UC_DADOS!$B$2)</f>
        <v>#N/A</v>
      </c>
      <c r="B40" s="398"/>
      <c r="C40" s="398"/>
      <c r="D40" s="398"/>
      <c r="E40" s="398"/>
      <c r="F40" s="398"/>
      <c r="G40" s="398"/>
      <c r="H40" s="398"/>
      <c r="I40" s="398"/>
      <c r="J40" s="399">
        <f t="shared" si="46"/>
        <v>0</v>
      </c>
      <c r="K40" s="400">
        <v>0.7</v>
      </c>
      <c r="L40" s="401">
        <f t="shared" si="0"/>
        <v>0</v>
      </c>
      <c r="M40" s="398"/>
      <c r="N40" s="402">
        <f t="shared" si="47"/>
        <v>0</v>
      </c>
      <c r="O40" s="403"/>
      <c r="P40" s="403"/>
      <c r="Q40" s="404">
        <v>21.25</v>
      </c>
      <c r="R40" s="403"/>
      <c r="S40" s="399">
        <f t="shared" si="1"/>
        <v>0</v>
      </c>
      <c r="T40" s="399">
        <f t="shared" si="2"/>
        <v>0</v>
      </c>
      <c r="U40" s="399">
        <f t="shared" si="3"/>
        <v>0</v>
      </c>
      <c r="V40" s="404">
        <f t="array" ref="V40">IF(F40="A",E40,IFERROR(INDEX('EQUIPAMENTOS_EFICIENTES (BDD)'!G:G,MATCH(1,('EQUIPAMENTOS_EFICIENTES (BDD)'!G:G=E40)*('EQUIPAMENTOS_EFICIENTES (BDD)'!I:I=_xlfn.MINIFS('EQUIPAMENTOS_EFICIENTES (BDD)'!I:I,'EQUIPAMENTOS_EFICIENTES (BDD)'!G:G,E40,'EQUIPAMENTOS_EFICIENTES (BDD)'!I:I,"&gt;="&amp;G40)),0)),"Substituição não encontrada"))</f>
        <v>0</v>
      </c>
      <c r="W40" s="404">
        <f t="array" ref="W40">IF(F40="A",F40,IFERROR(INDEX('EQUIPAMENTOS_EFICIENTES (BDD)'!H:H,MATCH(1,('EQUIPAMENTOS_EFICIENTES (BDD)'!G:G=E40)*('EQUIPAMENTOS_EFICIENTES (BDD)'!I:I=_xlfn.MINIFS('EQUIPAMENTOS_EFICIENTES (BDD)'!I:I,'EQUIPAMENTOS_EFICIENTES (BDD)'!G:G,E40,'EQUIPAMENTOS_EFICIENTES (BDD)'!I:I,"&gt;="&amp;G40)),0)),"Substituição não encontrada"))</f>
        <v>0</v>
      </c>
      <c r="X40" s="403">
        <f t="array" ref="X40">IF(F40="A",G40,IFERROR(INDEX('EQUIPAMENTOS_EFICIENTES (BDD)'!I:I,MATCH(1,('EQUIPAMENTOS_EFICIENTES (BDD)'!G:G=E40)*('EQUIPAMENTOS_EFICIENTES (BDD)'!I:I=_xlfn.MINIFS('EQUIPAMENTOS_EFICIENTES (BDD)'!I:I,'EQUIPAMENTOS_EFICIENTES (BDD)'!G:G,E40,'EQUIPAMENTOS_EFICIENTES (BDD)'!I:I,"&gt;="&amp;G40)),0)),"Substituição não encontrada"))</f>
        <v>0</v>
      </c>
      <c r="Y40" s="404">
        <f t="array" ref="Y40">IF(F40="A",H40,IFERROR(INDEX('EQUIPAMENTOS_EFICIENTES (BDD)'!J:J,MATCH(1,('EQUIPAMENTOS_EFICIENTES (BDD)'!G:G=E40)*('EQUIPAMENTOS_EFICIENTES (BDD)'!I:I=_xlfn.MINIFS('EQUIPAMENTOS_EFICIENTES (BDD)'!I:I,'EQUIPAMENTOS_EFICIENTES (BDD)'!G:G,E40,'EQUIPAMENTOS_EFICIENTES (BDD)'!I:I,"&gt;="&amp;G40)),0)),"Substituição não encontrada"))</f>
        <v>0</v>
      </c>
      <c r="Z40" s="404">
        <f t="array" ref="Z40">IFERROR(INDEX('EQUIPAMENTOS_EFICIENTES (BDD)'!K:K,MATCH(1,('EQUIPAMENTOS_EFICIENTES (BDD)'!G:G=E40)*('EQUIPAMENTOS_EFICIENTES (BDD)'!I:I=_xlfn.MINIFS('EQUIPAMENTOS_EFICIENTES (BDD)'!I:I,'EQUIPAMENTOS_EFICIENTES (BDD)'!G:G,E40,'EQUIPAMENTOS_EFICIENTES (BDD)'!I:I,"&gt;="&amp;G40)),0)),"")</f>
        <v>0</v>
      </c>
      <c r="AA40" s="405">
        <f t="shared" si="4"/>
        <v>0</v>
      </c>
      <c r="AB40" s="406">
        <f t="shared" si="5"/>
        <v>0</v>
      </c>
      <c r="AC40" s="407">
        <f t="shared" si="6"/>
        <v>0.7</v>
      </c>
      <c r="AD40" s="408">
        <f t="shared" si="7"/>
        <v>0</v>
      </c>
      <c r="AE40" s="408">
        <f t="shared" si="8"/>
        <v>0</v>
      </c>
      <c r="AF40" s="405">
        <f t="shared" si="9"/>
        <v>0</v>
      </c>
      <c r="AG40" s="405">
        <f t="shared" si="10"/>
        <v>0</v>
      </c>
      <c r="AH40" s="406">
        <f t="shared" si="11"/>
        <v>21.25</v>
      </c>
      <c r="AI40" s="406">
        <f t="shared" si="12"/>
        <v>0</v>
      </c>
      <c r="AJ40" s="406">
        <f t="shared" si="13"/>
        <v>0</v>
      </c>
      <c r="AK40" s="406">
        <f t="shared" si="14"/>
        <v>0</v>
      </c>
      <c r="AL40" s="406">
        <f t="shared" si="15"/>
        <v>0</v>
      </c>
      <c r="AM40" s="409">
        <f t="shared" si="16"/>
        <v>0</v>
      </c>
      <c r="AN40" s="410">
        <f t="shared" si="17"/>
        <v>0</v>
      </c>
      <c r="AO40" s="410">
        <f t="shared" si="18"/>
        <v>0</v>
      </c>
      <c r="AP40" s="411">
        <f t="shared" si="19"/>
        <v>0</v>
      </c>
      <c r="AQ40" s="410">
        <f t="shared" si="20"/>
        <v>0</v>
      </c>
      <c r="AR40" s="410">
        <f t="shared" si="21"/>
        <v>0</v>
      </c>
    </row>
    <row r="41" spans="1:44" s="64" customFormat="1" ht="15.75" customHeight="1" x14ac:dyDescent="0.25">
      <c r="A41" s="397" t="e">
        <f>IF(UC_DADOS!$B$2=0,"",UC_DADOS!$B$2)</f>
        <v>#N/A</v>
      </c>
      <c r="B41" s="398"/>
      <c r="C41" s="398"/>
      <c r="D41" s="398"/>
      <c r="E41" s="398"/>
      <c r="F41" s="398"/>
      <c r="G41" s="398"/>
      <c r="H41" s="398"/>
      <c r="I41" s="398"/>
      <c r="J41" s="399">
        <f t="shared" si="46"/>
        <v>0</v>
      </c>
      <c r="K41" s="400">
        <v>0.7</v>
      </c>
      <c r="L41" s="401">
        <f t="shared" si="0"/>
        <v>0</v>
      </c>
      <c r="M41" s="398"/>
      <c r="N41" s="402">
        <f t="shared" si="47"/>
        <v>0</v>
      </c>
      <c r="O41" s="403"/>
      <c r="P41" s="403"/>
      <c r="Q41" s="404">
        <v>21.25</v>
      </c>
      <c r="R41" s="403"/>
      <c r="S41" s="399">
        <f t="shared" si="1"/>
        <v>0</v>
      </c>
      <c r="T41" s="399">
        <f t="shared" si="2"/>
        <v>0</v>
      </c>
      <c r="U41" s="399">
        <f t="shared" si="3"/>
        <v>0</v>
      </c>
      <c r="V41" s="404">
        <f t="array" ref="V41">IF(F41="A",E41,IFERROR(INDEX('EQUIPAMENTOS_EFICIENTES (BDD)'!G:G,MATCH(1,('EQUIPAMENTOS_EFICIENTES (BDD)'!G:G=E41)*('EQUIPAMENTOS_EFICIENTES (BDD)'!I:I=_xlfn.MINIFS('EQUIPAMENTOS_EFICIENTES (BDD)'!I:I,'EQUIPAMENTOS_EFICIENTES (BDD)'!G:G,E41,'EQUIPAMENTOS_EFICIENTES (BDD)'!I:I,"&gt;="&amp;G41)),0)),"Substituição não encontrada"))</f>
        <v>0</v>
      </c>
      <c r="W41" s="404">
        <f t="array" ref="W41">IF(F41="A",F41,IFERROR(INDEX('EQUIPAMENTOS_EFICIENTES (BDD)'!H:H,MATCH(1,('EQUIPAMENTOS_EFICIENTES (BDD)'!G:G=E41)*('EQUIPAMENTOS_EFICIENTES (BDD)'!I:I=_xlfn.MINIFS('EQUIPAMENTOS_EFICIENTES (BDD)'!I:I,'EQUIPAMENTOS_EFICIENTES (BDD)'!G:G,E41,'EQUIPAMENTOS_EFICIENTES (BDD)'!I:I,"&gt;="&amp;G41)),0)),"Substituição não encontrada"))</f>
        <v>0</v>
      </c>
      <c r="X41" s="403">
        <f t="array" ref="X41">IF(F41="A",G41,IFERROR(INDEX('EQUIPAMENTOS_EFICIENTES (BDD)'!I:I,MATCH(1,('EQUIPAMENTOS_EFICIENTES (BDD)'!G:G=E41)*('EQUIPAMENTOS_EFICIENTES (BDD)'!I:I=_xlfn.MINIFS('EQUIPAMENTOS_EFICIENTES (BDD)'!I:I,'EQUIPAMENTOS_EFICIENTES (BDD)'!G:G,E41,'EQUIPAMENTOS_EFICIENTES (BDD)'!I:I,"&gt;="&amp;G41)),0)),"Substituição não encontrada"))</f>
        <v>0</v>
      </c>
      <c r="Y41" s="404">
        <f t="array" ref="Y41">IF(F41="A",H41,IFERROR(INDEX('EQUIPAMENTOS_EFICIENTES (BDD)'!J:J,MATCH(1,('EQUIPAMENTOS_EFICIENTES (BDD)'!G:G=E41)*('EQUIPAMENTOS_EFICIENTES (BDD)'!I:I=_xlfn.MINIFS('EQUIPAMENTOS_EFICIENTES (BDD)'!I:I,'EQUIPAMENTOS_EFICIENTES (BDD)'!G:G,E41,'EQUIPAMENTOS_EFICIENTES (BDD)'!I:I,"&gt;="&amp;G41)),0)),"Substituição não encontrada"))</f>
        <v>0</v>
      </c>
      <c r="Z41" s="404">
        <f t="array" ref="Z41">IFERROR(INDEX('EQUIPAMENTOS_EFICIENTES (BDD)'!K:K,MATCH(1,('EQUIPAMENTOS_EFICIENTES (BDD)'!G:G=E41)*('EQUIPAMENTOS_EFICIENTES (BDD)'!I:I=_xlfn.MINIFS('EQUIPAMENTOS_EFICIENTES (BDD)'!I:I,'EQUIPAMENTOS_EFICIENTES (BDD)'!G:G,E41,'EQUIPAMENTOS_EFICIENTES (BDD)'!I:I,"&gt;="&amp;G41)),0)),"")</f>
        <v>0</v>
      </c>
      <c r="AA41" s="405">
        <f t="shared" si="4"/>
        <v>0</v>
      </c>
      <c r="AB41" s="406">
        <f t="shared" si="5"/>
        <v>0</v>
      </c>
      <c r="AC41" s="407">
        <f t="shared" si="6"/>
        <v>0.7</v>
      </c>
      <c r="AD41" s="408">
        <f t="shared" si="7"/>
        <v>0</v>
      </c>
      <c r="AE41" s="408">
        <f t="shared" si="8"/>
        <v>0</v>
      </c>
      <c r="AF41" s="405">
        <f t="shared" si="9"/>
        <v>0</v>
      </c>
      <c r="AG41" s="405">
        <f t="shared" si="10"/>
        <v>0</v>
      </c>
      <c r="AH41" s="406">
        <f t="shared" si="11"/>
        <v>21.25</v>
      </c>
      <c r="AI41" s="406">
        <f t="shared" si="12"/>
        <v>0</v>
      </c>
      <c r="AJ41" s="406">
        <f t="shared" si="13"/>
        <v>0</v>
      </c>
      <c r="AK41" s="406">
        <f t="shared" si="14"/>
        <v>0</v>
      </c>
      <c r="AL41" s="406">
        <f t="shared" si="15"/>
        <v>0</v>
      </c>
      <c r="AM41" s="409">
        <f t="shared" si="16"/>
        <v>0</v>
      </c>
      <c r="AN41" s="410">
        <f t="shared" si="17"/>
        <v>0</v>
      </c>
      <c r="AO41" s="410">
        <f t="shared" si="18"/>
        <v>0</v>
      </c>
      <c r="AP41" s="411">
        <f t="shared" si="19"/>
        <v>0</v>
      </c>
      <c r="AQ41" s="410">
        <f t="shared" si="20"/>
        <v>0</v>
      </c>
      <c r="AR41" s="410">
        <f t="shared" si="21"/>
        <v>0</v>
      </c>
    </row>
    <row r="42" spans="1:44" s="64" customFormat="1" ht="15.75" customHeight="1" x14ac:dyDescent="0.25">
      <c r="A42" s="397" t="e">
        <f>IF(UC_DADOS!$B$2=0,"",UC_DADOS!$B$2)</f>
        <v>#N/A</v>
      </c>
      <c r="B42" s="398"/>
      <c r="C42" s="398"/>
      <c r="D42" s="398"/>
      <c r="E42" s="398"/>
      <c r="F42" s="398"/>
      <c r="G42" s="398"/>
      <c r="H42" s="398"/>
      <c r="I42" s="398"/>
      <c r="J42" s="399">
        <f t="shared" si="46"/>
        <v>0</v>
      </c>
      <c r="K42" s="400">
        <v>0.7</v>
      </c>
      <c r="L42" s="401">
        <f t="shared" si="0"/>
        <v>0</v>
      </c>
      <c r="M42" s="398"/>
      <c r="N42" s="402">
        <f t="shared" si="47"/>
        <v>0</v>
      </c>
      <c r="O42" s="403"/>
      <c r="P42" s="403"/>
      <c r="Q42" s="404">
        <v>21.25</v>
      </c>
      <c r="R42" s="403"/>
      <c r="S42" s="399">
        <f t="shared" si="1"/>
        <v>0</v>
      </c>
      <c r="T42" s="399">
        <f t="shared" si="2"/>
        <v>0</v>
      </c>
      <c r="U42" s="399">
        <f t="shared" si="3"/>
        <v>0</v>
      </c>
      <c r="V42" s="404">
        <f t="array" ref="V42">IF(F42="A",E42,IFERROR(INDEX('EQUIPAMENTOS_EFICIENTES (BDD)'!G:G,MATCH(1,('EQUIPAMENTOS_EFICIENTES (BDD)'!G:G=E42)*('EQUIPAMENTOS_EFICIENTES (BDD)'!I:I=_xlfn.MINIFS('EQUIPAMENTOS_EFICIENTES (BDD)'!I:I,'EQUIPAMENTOS_EFICIENTES (BDD)'!G:G,E42,'EQUIPAMENTOS_EFICIENTES (BDD)'!I:I,"&gt;="&amp;G42)),0)),"Substituição não encontrada"))</f>
        <v>0</v>
      </c>
      <c r="W42" s="404">
        <f t="array" ref="W42">IF(F42="A",F42,IFERROR(INDEX('EQUIPAMENTOS_EFICIENTES (BDD)'!H:H,MATCH(1,('EQUIPAMENTOS_EFICIENTES (BDD)'!G:G=E42)*('EQUIPAMENTOS_EFICIENTES (BDD)'!I:I=_xlfn.MINIFS('EQUIPAMENTOS_EFICIENTES (BDD)'!I:I,'EQUIPAMENTOS_EFICIENTES (BDD)'!G:G,E42,'EQUIPAMENTOS_EFICIENTES (BDD)'!I:I,"&gt;="&amp;G42)),0)),"Substituição não encontrada"))</f>
        <v>0</v>
      </c>
      <c r="X42" s="403">
        <f t="array" ref="X42">IF(F42="A",G42,IFERROR(INDEX('EQUIPAMENTOS_EFICIENTES (BDD)'!I:I,MATCH(1,('EQUIPAMENTOS_EFICIENTES (BDD)'!G:G=E42)*('EQUIPAMENTOS_EFICIENTES (BDD)'!I:I=_xlfn.MINIFS('EQUIPAMENTOS_EFICIENTES (BDD)'!I:I,'EQUIPAMENTOS_EFICIENTES (BDD)'!G:G,E42,'EQUIPAMENTOS_EFICIENTES (BDD)'!I:I,"&gt;="&amp;G42)),0)),"Substituição não encontrada"))</f>
        <v>0</v>
      </c>
      <c r="Y42" s="404">
        <f t="array" ref="Y42">IF(F42="A",H42,IFERROR(INDEX('EQUIPAMENTOS_EFICIENTES (BDD)'!J:J,MATCH(1,('EQUIPAMENTOS_EFICIENTES (BDD)'!G:G=E42)*('EQUIPAMENTOS_EFICIENTES (BDD)'!I:I=_xlfn.MINIFS('EQUIPAMENTOS_EFICIENTES (BDD)'!I:I,'EQUIPAMENTOS_EFICIENTES (BDD)'!G:G,E42,'EQUIPAMENTOS_EFICIENTES (BDD)'!I:I,"&gt;="&amp;G42)),0)),"Substituição não encontrada"))</f>
        <v>0</v>
      </c>
      <c r="Z42" s="404">
        <f t="array" ref="Z42">IFERROR(INDEX('EQUIPAMENTOS_EFICIENTES (BDD)'!K:K,MATCH(1,('EQUIPAMENTOS_EFICIENTES (BDD)'!G:G=E42)*('EQUIPAMENTOS_EFICIENTES (BDD)'!I:I=_xlfn.MINIFS('EQUIPAMENTOS_EFICIENTES (BDD)'!I:I,'EQUIPAMENTOS_EFICIENTES (BDD)'!G:G,E42,'EQUIPAMENTOS_EFICIENTES (BDD)'!I:I,"&gt;="&amp;G42)),0)),"")</f>
        <v>0</v>
      </c>
      <c r="AA42" s="405">
        <f t="shared" si="4"/>
        <v>0</v>
      </c>
      <c r="AB42" s="406">
        <f t="shared" si="5"/>
        <v>0</v>
      </c>
      <c r="AC42" s="407">
        <f t="shared" si="6"/>
        <v>0.7</v>
      </c>
      <c r="AD42" s="408">
        <f t="shared" si="7"/>
        <v>0</v>
      </c>
      <c r="AE42" s="408">
        <f t="shared" si="8"/>
        <v>0</v>
      </c>
      <c r="AF42" s="405">
        <f t="shared" si="9"/>
        <v>0</v>
      </c>
      <c r="AG42" s="405">
        <f t="shared" si="10"/>
        <v>0</v>
      </c>
      <c r="AH42" s="406">
        <f t="shared" si="11"/>
        <v>21.25</v>
      </c>
      <c r="AI42" s="406">
        <f t="shared" si="12"/>
        <v>0</v>
      </c>
      <c r="AJ42" s="406">
        <f t="shared" si="13"/>
        <v>0</v>
      </c>
      <c r="AK42" s="406">
        <f t="shared" si="14"/>
        <v>0</v>
      </c>
      <c r="AL42" s="406">
        <f t="shared" si="15"/>
        <v>0</v>
      </c>
      <c r="AM42" s="409">
        <f t="shared" si="16"/>
        <v>0</v>
      </c>
      <c r="AN42" s="410">
        <f t="shared" si="17"/>
        <v>0</v>
      </c>
      <c r="AO42" s="410">
        <f t="shared" si="18"/>
        <v>0</v>
      </c>
      <c r="AP42" s="411">
        <f t="shared" si="19"/>
        <v>0</v>
      </c>
      <c r="AQ42" s="410">
        <f t="shared" si="20"/>
        <v>0</v>
      </c>
      <c r="AR42" s="410">
        <f t="shared" si="21"/>
        <v>0</v>
      </c>
    </row>
    <row r="43" spans="1:44" s="64" customFormat="1" ht="15.75" customHeight="1" x14ac:dyDescent="0.25">
      <c r="A43" s="397" t="e">
        <f>IF(UC_DADOS!$B$2=0,"",UC_DADOS!$B$2)</f>
        <v>#N/A</v>
      </c>
      <c r="B43" s="398"/>
      <c r="C43" s="398"/>
      <c r="D43" s="398"/>
      <c r="E43" s="398"/>
      <c r="F43" s="398"/>
      <c r="G43" s="398"/>
      <c r="H43" s="398"/>
      <c r="I43" s="398"/>
      <c r="J43" s="399">
        <f t="shared" si="46"/>
        <v>0</v>
      </c>
      <c r="K43" s="400">
        <v>0.7</v>
      </c>
      <c r="L43" s="401">
        <f t="shared" si="0"/>
        <v>0</v>
      </c>
      <c r="M43" s="398"/>
      <c r="N43" s="402">
        <f t="shared" si="47"/>
        <v>0</v>
      </c>
      <c r="O43" s="403"/>
      <c r="P43" s="403"/>
      <c r="Q43" s="404">
        <v>21.25</v>
      </c>
      <c r="R43" s="403"/>
      <c r="S43" s="399">
        <f t="shared" si="1"/>
        <v>0</v>
      </c>
      <c r="T43" s="399">
        <f t="shared" si="2"/>
        <v>0</v>
      </c>
      <c r="U43" s="399">
        <f t="shared" si="3"/>
        <v>0</v>
      </c>
      <c r="V43" s="404">
        <f t="array" ref="V43">IF(F43="A",E43,IFERROR(INDEX('EQUIPAMENTOS_EFICIENTES (BDD)'!G:G,MATCH(1,('EQUIPAMENTOS_EFICIENTES (BDD)'!G:G=E43)*('EQUIPAMENTOS_EFICIENTES (BDD)'!I:I=_xlfn.MINIFS('EQUIPAMENTOS_EFICIENTES (BDD)'!I:I,'EQUIPAMENTOS_EFICIENTES (BDD)'!G:G,E43,'EQUIPAMENTOS_EFICIENTES (BDD)'!I:I,"&gt;="&amp;G43)),0)),"Substituição não encontrada"))</f>
        <v>0</v>
      </c>
      <c r="W43" s="404">
        <f t="array" ref="W43">IF(F43="A",F43,IFERROR(INDEX('EQUIPAMENTOS_EFICIENTES (BDD)'!H:H,MATCH(1,('EQUIPAMENTOS_EFICIENTES (BDD)'!G:G=E43)*('EQUIPAMENTOS_EFICIENTES (BDD)'!I:I=_xlfn.MINIFS('EQUIPAMENTOS_EFICIENTES (BDD)'!I:I,'EQUIPAMENTOS_EFICIENTES (BDD)'!G:G,E43,'EQUIPAMENTOS_EFICIENTES (BDD)'!I:I,"&gt;="&amp;G43)),0)),"Substituição não encontrada"))</f>
        <v>0</v>
      </c>
      <c r="X43" s="403">
        <f t="array" ref="X43">IF(F43="A",G43,IFERROR(INDEX('EQUIPAMENTOS_EFICIENTES (BDD)'!I:I,MATCH(1,('EQUIPAMENTOS_EFICIENTES (BDD)'!G:G=E43)*('EQUIPAMENTOS_EFICIENTES (BDD)'!I:I=_xlfn.MINIFS('EQUIPAMENTOS_EFICIENTES (BDD)'!I:I,'EQUIPAMENTOS_EFICIENTES (BDD)'!G:G,E43,'EQUIPAMENTOS_EFICIENTES (BDD)'!I:I,"&gt;="&amp;G43)),0)),"Substituição não encontrada"))</f>
        <v>0</v>
      </c>
      <c r="Y43" s="404">
        <f t="array" ref="Y43">IF(F43="A",H43,IFERROR(INDEX('EQUIPAMENTOS_EFICIENTES (BDD)'!J:J,MATCH(1,('EQUIPAMENTOS_EFICIENTES (BDD)'!G:G=E43)*('EQUIPAMENTOS_EFICIENTES (BDD)'!I:I=_xlfn.MINIFS('EQUIPAMENTOS_EFICIENTES (BDD)'!I:I,'EQUIPAMENTOS_EFICIENTES (BDD)'!G:G,E43,'EQUIPAMENTOS_EFICIENTES (BDD)'!I:I,"&gt;="&amp;G43)),0)),"Substituição não encontrada"))</f>
        <v>0</v>
      </c>
      <c r="Z43" s="404">
        <f t="array" ref="Z43">IFERROR(INDEX('EQUIPAMENTOS_EFICIENTES (BDD)'!K:K,MATCH(1,('EQUIPAMENTOS_EFICIENTES (BDD)'!G:G=E43)*('EQUIPAMENTOS_EFICIENTES (BDD)'!I:I=_xlfn.MINIFS('EQUIPAMENTOS_EFICIENTES (BDD)'!I:I,'EQUIPAMENTOS_EFICIENTES (BDD)'!G:G,E43,'EQUIPAMENTOS_EFICIENTES (BDD)'!I:I,"&gt;="&amp;G43)),0)),"")</f>
        <v>0</v>
      </c>
      <c r="AA43" s="405">
        <f t="shared" si="4"/>
        <v>0</v>
      </c>
      <c r="AB43" s="406">
        <f t="shared" si="5"/>
        <v>0</v>
      </c>
      <c r="AC43" s="407">
        <f t="shared" si="6"/>
        <v>0.7</v>
      </c>
      <c r="AD43" s="408">
        <f t="shared" si="7"/>
        <v>0</v>
      </c>
      <c r="AE43" s="408">
        <f t="shared" si="8"/>
        <v>0</v>
      </c>
      <c r="AF43" s="405">
        <f t="shared" si="9"/>
        <v>0</v>
      </c>
      <c r="AG43" s="405">
        <f t="shared" si="10"/>
        <v>0</v>
      </c>
      <c r="AH43" s="406">
        <f t="shared" si="11"/>
        <v>21.25</v>
      </c>
      <c r="AI43" s="406">
        <f t="shared" si="12"/>
        <v>0</v>
      </c>
      <c r="AJ43" s="406">
        <f t="shared" si="13"/>
        <v>0</v>
      </c>
      <c r="AK43" s="406">
        <f t="shared" si="14"/>
        <v>0</v>
      </c>
      <c r="AL43" s="406">
        <f t="shared" si="15"/>
        <v>0</v>
      </c>
      <c r="AM43" s="409">
        <f t="shared" si="16"/>
        <v>0</v>
      </c>
      <c r="AN43" s="410">
        <f t="shared" si="17"/>
        <v>0</v>
      </c>
      <c r="AO43" s="410">
        <f t="shared" si="18"/>
        <v>0</v>
      </c>
      <c r="AP43" s="411">
        <f t="shared" si="19"/>
        <v>0</v>
      </c>
      <c r="AQ43" s="410">
        <f t="shared" si="20"/>
        <v>0</v>
      </c>
      <c r="AR43" s="410">
        <f t="shared" si="21"/>
        <v>0</v>
      </c>
    </row>
    <row r="44" spans="1:44" s="64" customFormat="1" ht="15.75" customHeight="1" x14ac:dyDescent="0.25">
      <c r="A44" s="397" t="e">
        <f>IF(UC_DADOS!$B$2=0,"",UC_DADOS!$B$2)</f>
        <v>#N/A</v>
      </c>
      <c r="B44" s="398"/>
      <c r="C44" s="398"/>
      <c r="D44" s="398"/>
      <c r="E44" s="398"/>
      <c r="F44" s="398"/>
      <c r="G44" s="398"/>
      <c r="H44" s="398"/>
      <c r="I44" s="398"/>
      <c r="J44" s="399">
        <f t="shared" si="46"/>
        <v>0</v>
      </c>
      <c r="K44" s="400">
        <v>0.7</v>
      </c>
      <c r="L44" s="401">
        <f t="shared" si="0"/>
        <v>0</v>
      </c>
      <c r="M44" s="398"/>
      <c r="N44" s="402">
        <f t="shared" si="47"/>
        <v>0</v>
      </c>
      <c r="O44" s="403"/>
      <c r="P44" s="403"/>
      <c r="Q44" s="404">
        <v>21.25</v>
      </c>
      <c r="R44" s="403"/>
      <c r="S44" s="399">
        <f t="shared" si="1"/>
        <v>0</v>
      </c>
      <c r="T44" s="399">
        <f t="shared" si="2"/>
        <v>0</v>
      </c>
      <c r="U44" s="399">
        <f t="shared" si="3"/>
        <v>0</v>
      </c>
      <c r="V44" s="404">
        <f t="array" ref="V44">IF(F44="A",E44,IFERROR(INDEX('EQUIPAMENTOS_EFICIENTES (BDD)'!G:G,MATCH(1,('EQUIPAMENTOS_EFICIENTES (BDD)'!G:G=E44)*('EQUIPAMENTOS_EFICIENTES (BDD)'!I:I=_xlfn.MINIFS('EQUIPAMENTOS_EFICIENTES (BDD)'!I:I,'EQUIPAMENTOS_EFICIENTES (BDD)'!G:G,E44,'EQUIPAMENTOS_EFICIENTES (BDD)'!I:I,"&gt;="&amp;G44)),0)),"Substituição não encontrada"))</f>
        <v>0</v>
      </c>
      <c r="W44" s="404">
        <f t="array" ref="W44">IF(F44="A",F44,IFERROR(INDEX('EQUIPAMENTOS_EFICIENTES (BDD)'!H:H,MATCH(1,('EQUIPAMENTOS_EFICIENTES (BDD)'!G:G=E44)*('EQUIPAMENTOS_EFICIENTES (BDD)'!I:I=_xlfn.MINIFS('EQUIPAMENTOS_EFICIENTES (BDD)'!I:I,'EQUIPAMENTOS_EFICIENTES (BDD)'!G:G,E44,'EQUIPAMENTOS_EFICIENTES (BDD)'!I:I,"&gt;="&amp;G44)),0)),"Substituição não encontrada"))</f>
        <v>0</v>
      </c>
      <c r="X44" s="403">
        <f t="array" ref="X44">IF(F44="A",G44,IFERROR(INDEX('EQUIPAMENTOS_EFICIENTES (BDD)'!I:I,MATCH(1,('EQUIPAMENTOS_EFICIENTES (BDD)'!G:G=E44)*('EQUIPAMENTOS_EFICIENTES (BDD)'!I:I=_xlfn.MINIFS('EQUIPAMENTOS_EFICIENTES (BDD)'!I:I,'EQUIPAMENTOS_EFICIENTES (BDD)'!G:G,E44,'EQUIPAMENTOS_EFICIENTES (BDD)'!I:I,"&gt;="&amp;G44)),0)),"Substituição não encontrada"))</f>
        <v>0</v>
      </c>
      <c r="Y44" s="404">
        <f t="array" ref="Y44">IF(F44="A",H44,IFERROR(INDEX('EQUIPAMENTOS_EFICIENTES (BDD)'!J:J,MATCH(1,('EQUIPAMENTOS_EFICIENTES (BDD)'!G:G=E44)*('EQUIPAMENTOS_EFICIENTES (BDD)'!I:I=_xlfn.MINIFS('EQUIPAMENTOS_EFICIENTES (BDD)'!I:I,'EQUIPAMENTOS_EFICIENTES (BDD)'!G:G,E44,'EQUIPAMENTOS_EFICIENTES (BDD)'!I:I,"&gt;="&amp;G44)),0)),"Substituição não encontrada"))</f>
        <v>0</v>
      </c>
      <c r="Z44" s="404">
        <f t="array" ref="Z44">IFERROR(INDEX('EQUIPAMENTOS_EFICIENTES (BDD)'!K:K,MATCH(1,('EQUIPAMENTOS_EFICIENTES (BDD)'!G:G=E44)*('EQUIPAMENTOS_EFICIENTES (BDD)'!I:I=_xlfn.MINIFS('EQUIPAMENTOS_EFICIENTES (BDD)'!I:I,'EQUIPAMENTOS_EFICIENTES (BDD)'!G:G,E44,'EQUIPAMENTOS_EFICIENTES (BDD)'!I:I,"&gt;="&amp;G44)),0)),"")</f>
        <v>0</v>
      </c>
      <c r="AA44" s="405">
        <f t="shared" si="4"/>
        <v>0</v>
      </c>
      <c r="AB44" s="406">
        <f t="shared" si="5"/>
        <v>0</v>
      </c>
      <c r="AC44" s="407">
        <f t="shared" si="6"/>
        <v>0.7</v>
      </c>
      <c r="AD44" s="408">
        <f t="shared" si="7"/>
        <v>0</v>
      </c>
      <c r="AE44" s="408">
        <f t="shared" si="8"/>
        <v>0</v>
      </c>
      <c r="AF44" s="405">
        <f t="shared" si="9"/>
        <v>0</v>
      </c>
      <c r="AG44" s="405">
        <f t="shared" si="10"/>
        <v>0</v>
      </c>
      <c r="AH44" s="406">
        <f t="shared" si="11"/>
        <v>21.25</v>
      </c>
      <c r="AI44" s="406">
        <f t="shared" si="12"/>
        <v>0</v>
      </c>
      <c r="AJ44" s="406">
        <f t="shared" si="13"/>
        <v>0</v>
      </c>
      <c r="AK44" s="406">
        <f t="shared" si="14"/>
        <v>0</v>
      </c>
      <c r="AL44" s="406">
        <f t="shared" si="15"/>
        <v>0</v>
      </c>
      <c r="AM44" s="409">
        <f t="shared" si="16"/>
        <v>0</v>
      </c>
      <c r="AN44" s="410">
        <f t="shared" si="17"/>
        <v>0</v>
      </c>
      <c r="AO44" s="410">
        <f t="shared" si="18"/>
        <v>0</v>
      </c>
      <c r="AP44" s="411">
        <f t="shared" si="19"/>
        <v>0</v>
      </c>
      <c r="AQ44" s="410">
        <f t="shared" si="20"/>
        <v>0</v>
      </c>
      <c r="AR44" s="410">
        <f t="shared" si="21"/>
        <v>0</v>
      </c>
    </row>
    <row r="45" spans="1:44" s="199" customFormat="1" x14ac:dyDescent="0.25">
      <c r="A45" s="412"/>
      <c r="B45" s="412"/>
      <c r="C45" s="412"/>
      <c r="D45" s="412"/>
      <c r="E45" s="413" t="s">
        <v>554</v>
      </c>
      <c r="F45" s="414"/>
      <c r="G45" s="414"/>
      <c r="H45" s="414"/>
      <c r="I45" s="414">
        <f>SUM(I3:I44)</f>
        <v>0</v>
      </c>
      <c r="J45" s="415">
        <f>SUM(J3:J44)</f>
        <v>0</v>
      </c>
      <c r="K45" s="414"/>
      <c r="L45" s="414">
        <f>SUM(L3:L44)</f>
        <v>0</v>
      </c>
      <c r="M45" s="414"/>
      <c r="N45" s="414"/>
      <c r="O45" s="414"/>
      <c r="P45" s="414"/>
      <c r="Q45" s="414"/>
      <c r="R45" s="414"/>
      <c r="S45" s="414"/>
      <c r="T45" s="414">
        <f>SUM(T3:T44)</f>
        <v>0</v>
      </c>
      <c r="U45" s="414">
        <f>SUM(U3:U44)</f>
        <v>0</v>
      </c>
      <c r="V45" s="414"/>
      <c r="W45" s="414"/>
      <c r="X45" s="414" t="s">
        <v>554</v>
      </c>
      <c r="Y45" s="414"/>
      <c r="Z45" s="414"/>
      <c r="AA45" s="414">
        <f>SUM(AA3:AA44)</f>
        <v>0</v>
      </c>
      <c r="AB45" s="415">
        <f>SUM(AB3:AB44)</f>
        <v>0</v>
      </c>
      <c r="AC45" s="414"/>
      <c r="AD45" s="414">
        <f>SUM(AD3:AD44)</f>
        <v>0</v>
      </c>
      <c r="AE45" s="414"/>
      <c r="AF45" s="414"/>
      <c r="AG45" s="414"/>
      <c r="AH45" s="414"/>
      <c r="AI45" s="414"/>
      <c r="AJ45" s="414"/>
      <c r="AK45" s="414">
        <f t="shared" ref="AK45:AR45" si="64">SUM(AK3:AK44)</f>
        <v>0</v>
      </c>
      <c r="AL45" s="414">
        <f t="shared" si="64"/>
        <v>0</v>
      </c>
      <c r="AM45" s="414">
        <f t="shared" si="64"/>
        <v>0</v>
      </c>
      <c r="AN45" s="414">
        <f t="shared" si="64"/>
        <v>0</v>
      </c>
      <c r="AO45" s="414">
        <f t="shared" si="64"/>
        <v>0</v>
      </c>
      <c r="AP45" s="416">
        <f t="shared" si="64"/>
        <v>0</v>
      </c>
      <c r="AQ45" s="414">
        <f t="shared" si="64"/>
        <v>0</v>
      </c>
      <c r="AR45" s="414">
        <f t="shared" si="64"/>
        <v>0</v>
      </c>
    </row>
    <row r="123" spans="39:42" ht="15" customHeight="1" x14ac:dyDescent="0.25">
      <c r="AM123" s="70" t="s">
        <v>554</v>
      </c>
      <c r="AN123" s="69">
        <f>SUM(AN3:AN122)</f>
        <v>0</v>
      </c>
      <c r="AO123" s="71"/>
      <c r="AP123" s="71">
        <f>SUM(AP3:AP122)</f>
        <v>0</v>
      </c>
    </row>
  </sheetData>
  <autoFilter ref="A2:AP45" xr:uid="{00000000-0009-0000-0000-000008000000}"/>
  <mergeCells count="4">
    <mergeCell ref="A1:C1"/>
    <mergeCell ref="AN1:AP1"/>
    <mergeCell ref="V1:AM1"/>
    <mergeCell ref="D1:U1"/>
  </mergeCells>
  <pageMargins left="0.51180555555555596" right="0.51180555555555596" top="0.78749999999999998" bottom="0.78819444444444398" header="0.511811023622047" footer="0.31527777777777799"/>
  <pageSetup paperSize="9" fitToHeight="0" orientation="landscape" horizontalDpi="300" verticalDpi="300"/>
  <headerFooter>
    <oddFooter>&amp;C&amp;"Calibri,Regular"&amp;12 &amp;K008000#Internal Use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J96"/>
  <sheetViews>
    <sheetView zoomScale="70" zoomScaleNormal="70" workbookViewId="0">
      <pane xSplit="5" ySplit="3" topLeftCell="F19" activePane="bottomRight" state="frozen"/>
      <selection pane="topRight" activeCell="AB1" sqref="AB1"/>
      <selection pane="bottomLeft" activeCell="A5" sqref="A5"/>
      <selection pane="bottomRight" activeCell="C42" sqref="C42"/>
    </sheetView>
  </sheetViews>
  <sheetFormatPr defaultColWidth="8.85546875" defaultRowHeight="15" x14ac:dyDescent="0.25"/>
  <cols>
    <col min="1" max="1" width="36.85546875" style="53" customWidth="1"/>
    <col min="2" max="2" width="20.42578125" style="53" customWidth="1"/>
    <col min="3" max="3" width="32.140625" style="53" customWidth="1"/>
    <col min="4" max="4" width="32" style="53" customWidth="1"/>
    <col min="5" max="5" width="22.28515625" style="53" customWidth="1"/>
    <col min="6" max="6" width="31.7109375" style="54" customWidth="1"/>
    <col min="7" max="10" width="12.5703125" style="54" customWidth="1"/>
    <col min="11" max="11" width="17.42578125" style="54" customWidth="1"/>
    <col min="12" max="19" width="19.42578125" style="54" customWidth="1"/>
    <col min="20" max="20" width="20.7109375" style="54" customWidth="1"/>
    <col min="21" max="21" width="32" style="54" customWidth="1"/>
    <col min="22" max="25" width="13.28515625" style="54" customWidth="1"/>
    <col min="26" max="33" width="20" style="54" customWidth="1"/>
    <col min="34" max="35" width="18.42578125" style="54" customWidth="1"/>
    <col min="36" max="36" width="28.140625" style="53" customWidth="1"/>
    <col min="37" max="37" width="8.85546875" style="53" customWidth="1"/>
    <col min="38" max="16384" width="8.85546875" style="53"/>
  </cols>
  <sheetData>
    <row r="1" spans="1:36" ht="30.75" customHeight="1" thickBot="1" x14ac:dyDescent="0.3">
      <c r="A1" s="444" t="s">
        <v>555</v>
      </c>
      <c r="B1" s="466"/>
      <c r="C1" s="466"/>
      <c r="D1" s="466"/>
      <c r="E1" s="444" t="s">
        <v>522</v>
      </c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5" t="s">
        <v>523</v>
      </c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6"/>
      <c r="AH1" s="460" t="s">
        <v>524</v>
      </c>
      <c r="AI1" s="461"/>
      <c r="AJ1" s="214" t="s">
        <v>564</v>
      </c>
    </row>
    <row r="2" spans="1:36" s="64" customFormat="1" ht="24" customHeight="1" x14ac:dyDescent="0.25">
      <c r="A2" s="442" t="s">
        <v>527</v>
      </c>
      <c r="B2" s="442" t="s">
        <v>528</v>
      </c>
      <c r="C2" s="442" t="s">
        <v>529</v>
      </c>
      <c r="D2" s="463" t="s">
        <v>530</v>
      </c>
      <c r="E2" s="449" t="s">
        <v>531</v>
      </c>
      <c r="F2" s="451" t="s">
        <v>565</v>
      </c>
      <c r="G2" s="452"/>
      <c r="H2" s="451" t="s">
        <v>566</v>
      </c>
      <c r="I2" s="452"/>
      <c r="J2" s="447" t="s">
        <v>567</v>
      </c>
      <c r="K2" s="447" t="s">
        <v>539</v>
      </c>
      <c r="L2" s="447" t="s">
        <v>540</v>
      </c>
      <c r="M2" s="447" t="s">
        <v>541</v>
      </c>
      <c r="N2" s="447" t="s">
        <v>899</v>
      </c>
      <c r="O2" s="447" t="s">
        <v>900</v>
      </c>
      <c r="P2" s="447" t="s">
        <v>543</v>
      </c>
      <c r="Q2" s="447" t="s">
        <v>544</v>
      </c>
      <c r="R2" s="447" t="s">
        <v>545</v>
      </c>
      <c r="S2" s="449" t="s">
        <v>546</v>
      </c>
      <c r="T2" s="454" t="s">
        <v>531</v>
      </c>
      <c r="U2" s="464" t="s">
        <v>565</v>
      </c>
      <c r="V2" s="452"/>
      <c r="W2" s="464" t="s">
        <v>566</v>
      </c>
      <c r="X2" s="452"/>
      <c r="Y2" s="453" t="s">
        <v>567</v>
      </c>
      <c r="Z2" s="453" t="s">
        <v>540</v>
      </c>
      <c r="AA2" s="453" t="s">
        <v>548</v>
      </c>
      <c r="AB2" s="453" t="s">
        <v>563</v>
      </c>
      <c r="AC2" s="453" t="s">
        <v>543</v>
      </c>
      <c r="AD2" s="453" t="s">
        <v>544</v>
      </c>
      <c r="AE2" s="453" t="s">
        <v>545</v>
      </c>
      <c r="AF2" s="457" t="s">
        <v>546</v>
      </c>
      <c r="AG2" s="462" t="s">
        <v>550</v>
      </c>
      <c r="AH2" s="459" t="s">
        <v>551</v>
      </c>
      <c r="AI2" s="465" t="s">
        <v>553</v>
      </c>
      <c r="AJ2" s="456" t="s">
        <v>568</v>
      </c>
    </row>
    <row r="3" spans="1:36" s="64" customFormat="1" ht="51" customHeight="1" x14ac:dyDescent="0.25">
      <c r="A3" s="443"/>
      <c r="B3" s="443"/>
      <c r="C3" s="443"/>
      <c r="D3" s="458"/>
      <c r="E3" s="450"/>
      <c r="F3" s="98" t="s">
        <v>569</v>
      </c>
      <c r="G3" s="98" t="s">
        <v>535</v>
      </c>
      <c r="H3" s="98" t="s">
        <v>569</v>
      </c>
      <c r="I3" s="98" t="s">
        <v>535</v>
      </c>
      <c r="J3" s="448"/>
      <c r="K3" s="448"/>
      <c r="L3" s="448"/>
      <c r="M3" s="448"/>
      <c r="N3" s="448"/>
      <c r="O3" s="448"/>
      <c r="P3" s="448"/>
      <c r="Q3" s="448"/>
      <c r="R3" s="448"/>
      <c r="S3" s="450"/>
      <c r="T3" s="455"/>
      <c r="U3" s="99" t="s">
        <v>569</v>
      </c>
      <c r="V3" s="99" t="s">
        <v>535</v>
      </c>
      <c r="W3" s="99" t="s">
        <v>569</v>
      </c>
      <c r="X3" s="99" t="s">
        <v>535</v>
      </c>
      <c r="Y3" s="448"/>
      <c r="Z3" s="448"/>
      <c r="AA3" s="448"/>
      <c r="AB3" s="448"/>
      <c r="AC3" s="448"/>
      <c r="AD3" s="448"/>
      <c r="AE3" s="448"/>
      <c r="AF3" s="458"/>
      <c r="AG3" s="443"/>
      <c r="AH3" s="450"/>
      <c r="AI3" s="458"/>
      <c r="AJ3" s="455"/>
    </row>
    <row r="4" spans="1:36" s="64" customFormat="1" x14ac:dyDescent="0.25">
      <c r="A4" s="94" t="e">
        <f>IF(UC_DADOS!$B$2=0,"",UC_DADOS!$B$2)</f>
        <v>#N/A</v>
      </c>
      <c r="B4" s="100"/>
      <c r="C4" s="100"/>
      <c r="D4" s="96"/>
      <c r="E4" s="96"/>
      <c r="F4" s="94"/>
      <c r="G4" s="97"/>
      <c r="H4" s="95"/>
      <c r="I4" s="97"/>
      <c r="J4" s="145">
        <f t="shared" ref="J4:J95" si="0">(F4*G4+H4*I4)/1000</f>
        <v>0</v>
      </c>
      <c r="K4" s="298"/>
      <c r="L4" s="299">
        <f>K4*M4*N4</f>
        <v>0</v>
      </c>
      <c r="M4" s="97"/>
      <c r="N4" s="95"/>
      <c r="O4" s="95">
        <v>21.25</v>
      </c>
      <c r="P4" s="101"/>
      <c r="Q4" s="145">
        <f t="shared" ref="Q4:Q95" si="1">M4*O4*P4/765</f>
        <v>0</v>
      </c>
      <c r="R4" s="145">
        <f t="shared" ref="R4:R95" si="2">J4*L4/1000</f>
        <v>0</v>
      </c>
      <c r="S4" s="145">
        <f t="shared" ref="S4:S95" si="3">J4*Q4</f>
        <v>0</v>
      </c>
      <c r="T4" s="97" t="s">
        <v>570</v>
      </c>
      <c r="U4" s="94"/>
      <c r="V4" s="97"/>
      <c r="W4" s="97"/>
      <c r="X4" s="97"/>
      <c r="Y4" s="146">
        <f t="shared" ref="Y4:Y95" si="4">(U4*V4+W4*X4)/1000</f>
        <v>0</v>
      </c>
      <c r="Z4" s="147">
        <f t="shared" ref="Z4:Z95" si="5">L4</f>
        <v>0</v>
      </c>
      <c r="AA4" s="147">
        <f t="shared" ref="AA4:AA95" si="6">M4</f>
        <v>0</v>
      </c>
      <c r="AB4" s="146">
        <f t="shared" ref="AB4:AB95" si="7">O4</f>
        <v>21.25</v>
      </c>
      <c r="AC4" s="146">
        <f t="shared" ref="AC4:AC95" si="8">P4</f>
        <v>0</v>
      </c>
      <c r="AD4" s="148">
        <f t="shared" ref="AD4:AD95" si="9">Q4</f>
        <v>0</v>
      </c>
      <c r="AE4" s="148">
        <f t="shared" ref="AE4:AE95" si="10">Y4*Z4/1000</f>
        <v>0</v>
      </c>
      <c r="AF4" s="148">
        <f t="shared" ref="AF4:AF95" si="11">Y4*AD4</f>
        <v>0</v>
      </c>
      <c r="AG4" s="149">
        <f t="shared" ref="AG4:AG95" si="12">S4-AF4</f>
        <v>0</v>
      </c>
      <c r="AH4" s="149">
        <f t="shared" ref="AH4:AH95" si="13">R4-AE4</f>
        <v>0</v>
      </c>
      <c r="AI4" s="383">
        <f t="shared" ref="AI4:AI95" si="14">AH4/478.332</f>
        <v>0</v>
      </c>
      <c r="AJ4" s="149">
        <f t="shared" ref="AJ4:AJ95" si="15">R4*0.85</f>
        <v>0</v>
      </c>
    </row>
    <row r="5" spans="1:36" s="64" customFormat="1" x14ac:dyDescent="0.25">
      <c r="A5" s="94" t="e">
        <f>IF(UC_DADOS!$B$2=0,"",UC_DADOS!$B$2)</f>
        <v>#N/A</v>
      </c>
      <c r="B5" s="100"/>
      <c r="C5" s="100"/>
      <c r="D5" s="96"/>
      <c r="E5" s="96"/>
      <c r="F5" s="150"/>
      <c r="G5" s="97"/>
      <c r="H5" s="95"/>
      <c r="I5" s="97"/>
      <c r="J5" s="145">
        <f t="shared" ref="J5:J64" si="16">(F5*G5+H5*I5)/1000</f>
        <v>0</v>
      </c>
      <c r="K5" s="298"/>
      <c r="L5" s="299">
        <f t="shared" ref="L5:L64" si="17">K5*M5*O5</f>
        <v>0</v>
      </c>
      <c r="M5" s="97"/>
      <c r="N5" s="95"/>
      <c r="O5" s="95">
        <v>21.25</v>
      </c>
      <c r="P5" s="101"/>
      <c r="Q5" s="145">
        <f t="shared" ref="Q5:Q64" si="18">M5*O5*P5/765</f>
        <v>0</v>
      </c>
      <c r="R5" s="145">
        <f t="shared" ref="R5:R64" si="19">J5*L5/1000</f>
        <v>0</v>
      </c>
      <c r="S5" s="145">
        <f t="shared" ref="S5:S64" si="20">J5*Q5</f>
        <v>0</v>
      </c>
      <c r="T5" s="97" t="s">
        <v>570</v>
      </c>
      <c r="U5" s="97"/>
      <c r="V5" s="97"/>
      <c r="W5" s="97"/>
      <c r="X5" s="97"/>
      <c r="Y5" s="146">
        <f t="shared" ref="Y5:Y64" si="21">(U5*V5+W5*X5)/1000</f>
        <v>0</v>
      </c>
      <c r="Z5" s="147">
        <f t="shared" ref="Z5:Z64" si="22">L5</f>
        <v>0</v>
      </c>
      <c r="AA5" s="147">
        <f t="shared" ref="AA5:AA64" si="23">M5</f>
        <v>0</v>
      </c>
      <c r="AB5" s="146">
        <f t="shared" ref="AB5:AB64" si="24">O5</f>
        <v>21.25</v>
      </c>
      <c r="AC5" s="146">
        <f t="shared" ref="AC5:AC64" si="25">P5</f>
        <v>0</v>
      </c>
      <c r="AD5" s="148">
        <f t="shared" ref="AD5:AD64" si="26">Q5</f>
        <v>0</v>
      </c>
      <c r="AE5" s="148">
        <f t="shared" ref="AE5:AE64" si="27">Y5*Z5/1000</f>
        <v>0</v>
      </c>
      <c r="AF5" s="148">
        <f t="shared" ref="AF5:AF64" si="28">Y5*AD5</f>
        <v>0</v>
      </c>
      <c r="AG5" s="149">
        <f t="shared" ref="AG5:AG64" si="29">S5-AF5</f>
        <v>0</v>
      </c>
      <c r="AH5" s="149">
        <f t="shared" ref="AH5:AH64" si="30">R5-AE5</f>
        <v>0</v>
      </c>
      <c r="AI5" s="383">
        <f t="shared" ref="AI5:AI64" si="31">AH5/478.332</f>
        <v>0</v>
      </c>
      <c r="AJ5" s="149">
        <f t="shared" ref="AJ5:AJ64" si="32">R5*0.85</f>
        <v>0</v>
      </c>
    </row>
    <row r="6" spans="1:36" s="64" customFormat="1" x14ac:dyDescent="0.25">
      <c r="A6" s="94" t="e">
        <f>IF(UC_DADOS!$B$2=0,"",UC_DADOS!$B$2)</f>
        <v>#N/A</v>
      </c>
      <c r="B6" s="100"/>
      <c r="C6" s="100"/>
      <c r="D6" s="96"/>
      <c r="E6" s="96"/>
      <c r="F6" s="150"/>
      <c r="G6" s="97"/>
      <c r="H6" s="95"/>
      <c r="I6" s="97"/>
      <c r="J6" s="145">
        <f t="shared" si="16"/>
        <v>0</v>
      </c>
      <c r="K6" s="298"/>
      <c r="L6" s="299">
        <f t="shared" si="17"/>
        <v>0</v>
      </c>
      <c r="M6" s="97"/>
      <c r="N6" s="95"/>
      <c r="O6" s="95">
        <v>21.25</v>
      </c>
      <c r="P6" s="101"/>
      <c r="Q6" s="145">
        <f t="shared" si="18"/>
        <v>0</v>
      </c>
      <c r="R6" s="145">
        <f t="shared" si="19"/>
        <v>0</v>
      </c>
      <c r="S6" s="145">
        <f t="shared" si="20"/>
        <v>0</v>
      </c>
      <c r="T6" s="97" t="s">
        <v>570</v>
      </c>
      <c r="U6" s="97"/>
      <c r="V6" s="97"/>
      <c r="W6" s="97"/>
      <c r="X6" s="97"/>
      <c r="Y6" s="146">
        <f t="shared" si="21"/>
        <v>0</v>
      </c>
      <c r="Z6" s="147">
        <f t="shared" si="22"/>
        <v>0</v>
      </c>
      <c r="AA6" s="147">
        <f t="shared" si="23"/>
        <v>0</v>
      </c>
      <c r="AB6" s="146">
        <f t="shared" si="24"/>
        <v>21.25</v>
      </c>
      <c r="AC6" s="146">
        <f t="shared" si="25"/>
        <v>0</v>
      </c>
      <c r="AD6" s="148">
        <f t="shared" si="26"/>
        <v>0</v>
      </c>
      <c r="AE6" s="148">
        <f t="shared" si="27"/>
        <v>0</v>
      </c>
      <c r="AF6" s="148">
        <f t="shared" si="28"/>
        <v>0</v>
      </c>
      <c r="AG6" s="149">
        <f t="shared" si="29"/>
        <v>0</v>
      </c>
      <c r="AH6" s="149">
        <f t="shared" si="30"/>
        <v>0</v>
      </c>
      <c r="AI6" s="383">
        <f t="shared" si="31"/>
        <v>0</v>
      </c>
      <c r="AJ6" s="149">
        <f t="shared" si="32"/>
        <v>0</v>
      </c>
    </row>
    <row r="7" spans="1:36" s="64" customFormat="1" x14ac:dyDescent="0.25">
      <c r="A7" s="94" t="e">
        <f>IF(UC_DADOS!$B$2=0,"",UC_DADOS!$B$2)</f>
        <v>#N/A</v>
      </c>
      <c r="B7" s="100"/>
      <c r="C7" s="100"/>
      <c r="D7" s="96"/>
      <c r="E7" s="96"/>
      <c r="F7" s="150"/>
      <c r="G7" s="97"/>
      <c r="H7" s="95"/>
      <c r="I7" s="97"/>
      <c r="J7" s="145">
        <f t="shared" si="16"/>
        <v>0</v>
      </c>
      <c r="K7" s="298"/>
      <c r="L7" s="299">
        <f t="shared" si="17"/>
        <v>0</v>
      </c>
      <c r="M7" s="97"/>
      <c r="N7" s="95"/>
      <c r="O7" s="95">
        <v>21.25</v>
      </c>
      <c r="P7" s="101"/>
      <c r="Q7" s="145">
        <f t="shared" si="18"/>
        <v>0</v>
      </c>
      <c r="R7" s="145">
        <f t="shared" si="19"/>
        <v>0</v>
      </c>
      <c r="S7" s="145">
        <f t="shared" si="20"/>
        <v>0</v>
      </c>
      <c r="T7" s="97" t="s">
        <v>570</v>
      </c>
      <c r="U7" s="97"/>
      <c r="V7" s="97"/>
      <c r="W7" s="97"/>
      <c r="X7" s="97"/>
      <c r="Y7" s="146">
        <f t="shared" si="21"/>
        <v>0</v>
      </c>
      <c r="Z7" s="147">
        <f t="shared" si="22"/>
        <v>0</v>
      </c>
      <c r="AA7" s="147">
        <f t="shared" si="23"/>
        <v>0</v>
      </c>
      <c r="AB7" s="146">
        <f t="shared" si="24"/>
        <v>21.25</v>
      </c>
      <c r="AC7" s="146">
        <f t="shared" si="25"/>
        <v>0</v>
      </c>
      <c r="AD7" s="148">
        <f t="shared" si="26"/>
        <v>0</v>
      </c>
      <c r="AE7" s="148">
        <f t="shared" si="27"/>
        <v>0</v>
      </c>
      <c r="AF7" s="148">
        <f t="shared" si="28"/>
        <v>0</v>
      </c>
      <c r="AG7" s="149">
        <f t="shared" si="29"/>
        <v>0</v>
      </c>
      <c r="AH7" s="149">
        <f t="shared" si="30"/>
        <v>0</v>
      </c>
      <c r="AI7" s="383">
        <f t="shared" si="31"/>
        <v>0</v>
      </c>
      <c r="AJ7" s="149">
        <f t="shared" si="32"/>
        <v>0</v>
      </c>
    </row>
    <row r="8" spans="1:36" s="64" customFormat="1" x14ac:dyDescent="0.25">
      <c r="A8" s="94" t="e">
        <f>IF(UC_DADOS!$B$2=0,"",UC_DADOS!$B$2)</f>
        <v>#N/A</v>
      </c>
      <c r="B8" s="100"/>
      <c r="C8" s="100"/>
      <c r="D8" s="96"/>
      <c r="E8" s="96"/>
      <c r="F8" s="150"/>
      <c r="G8" s="97"/>
      <c r="H8" s="95"/>
      <c r="I8" s="97"/>
      <c r="J8" s="145">
        <f t="shared" si="16"/>
        <v>0</v>
      </c>
      <c r="K8" s="298"/>
      <c r="L8" s="299">
        <f t="shared" si="17"/>
        <v>0</v>
      </c>
      <c r="M8" s="97"/>
      <c r="N8" s="95"/>
      <c r="O8" s="95">
        <v>21.25</v>
      </c>
      <c r="P8" s="101"/>
      <c r="Q8" s="145">
        <f t="shared" si="18"/>
        <v>0</v>
      </c>
      <c r="R8" s="145">
        <f t="shared" si="19"/>
        <v>0</v>
      </c>
      <c r="S8" s="145">
        <f t="shared" si="20"/>
        <v>0</v>
      </c>
      <c r="T8" s="97" t="s">
        <v>570</v>
      </c>
      <c r="U8" s="97"/>
      <c r="V8" s="97"/>
      <c r="W8" s="97"/>
      <c r="X8" s="97"/>
      <c r="Y8" s="146">
        <f t="shared" si="21"/>
        <v>0</v>
      </c>
      <c r="Z8" s="147">
        <f t="shared" si="22"/>
        <v>0</v>
      </c>
      <c r="AA8" s="147">
        <f t="shared" si="23"/>
        <v>0</v>
      </c>
      <c r="AB8" s="146">
        <f t="shared" si="24"/>
        <v>21.25</v>
      </c>
      <c r="AC8" s="146">
        <f t="shared" si="25"/>
        <v>0</v>
      </c>
      <c r="AD8" s="148">
        <f t="shared" si="26"/>
        <v>0</v>
      </c>
      <c r="AE8" s="148">
        <f t="shared" si="27"/>
        <v>0</v>
      </c>
      <c r="AF8" s="148">
        <f t="shared" si="28"/>
        <v>0</v>
      </c>
      <c r="AG8" s="149">
        <f t="shared" si="29"/>
        <v>0</v>
      </c>
      <c r="AH8" s="149">
        <f t="shared" si="30"/>
        <v>0</v>
      </c>
      <c r="AI8" s="383">
        <f t="shared" si="31"/>
        <v>0</v>
      </c>
      <c r="AJ8" s="149">
        <f t="shared" si="32"/>
        <v>0</v>
      </c>
    </row>
    <row r="9" spans="1:36" s="64" customFormat="1" x14ac:dyDescent="0.25">
      <c r="A9" s="94" t="e">
        <f>IF(UC_DADOS!$B$2=0,"",UC_DADOS!$B$2)</f>
        <v>#N/A</v>
      </c>
      <c r="B9" s="100"/>
      <c r="C9" s="100"/>
      <c r="D9" s="96"/>
      <c r="E9" s="96"/>
      <c r="F9" s="150"/>
      <c r="G9" s="97"/>
      <c r="H9" s="95"/>
      <c r="I9" s="97"/>
      <c r="J9" s="145">
        <f t="shared" si="16"/>
        <v>0</v>
      </c>
      <c r="K9" s="298"/>
      <c r="L9" s="299">
        <f t="shared" si="17"/>
        <v>0</v>
      </c>
      <c r="M9" s="97"/>
      <c r="N9" s="95"/>
      <c r="O9" s="95">
        <v>21.25</v>
      </c>
      <c r="P9" s="101"/>
      <c r="Q9" s="145">
        <f t="shared" si="18"/>
        <v>0</v>
      </c>
      <c r="R9" s="145">
        <f t="shared" si="19"/>
        <v>0</v>
      </c>
      <c r="S9" s="145">
        <f t="shared" si="20"/>
        <v>0</v>
      </c>
      <c r="T9" s="97" t="s">
        <v>570</v>
      </c>
      <c r="U9" s="97"/>
      <c r="V9" s="97"/>
      <c r="W9" s="97"/>
      <c r="X9" s="97"/>
      <c r="Y9" s="146">
        <f t="shared" si="21"/>
        <v>0</v>
      </c>
      <c r="Z9" s="147">
        <f t="shared" si="22"/>
        <v>0</v>
      </c>
      <c r="AA9" s="147">
        <f t="shared" si="23"/>
        <v>0</v>
      </c>
      <c r="AB9" s="146">
        <f t="shared" si="24"/>
        <v>21.25</v>
      </c>
      <c r="AC9" s="146">
        <f t="shared" si="25"/>
        <v>0</v>
      </c>
      <c r="AD9" s="148">
        <f t="shared" si="26"/>
        <v>0</v>
      </c>
      <c r="AE9" s="148">
        <f t="shared" si="27"/>
        <v>0</v>
      </c>
      <c r="AF9" s="148">
        <f t="shared" si="28"/>
        <v>0</v>
      </c>
      <c r="AG9" s="149">
        <f t="shared" si="29"/>
        <v>0</v>
      </c>
      <c r="AH9" s="149">
        <f t="shared" si="30"/>
        <v>0</v>
      </c>
      <c r="AI9" s="383">
        <f t="shared" si="31"/>
        <v>0</v>
      </c>
      <c r="AJ9" s="149">
        <f t="shared" si="32"/>
        <v>0</v>
      </c>
    </row>
    <row r="10" spans="1:36" s="64" customFormat="1" x14ac:dyDescent="0.25">
      <c r="A10" s="94" t="e">
        <f>IF(UC_DADOS!$B$2=0,"",UC_DADOS!$B$2)</f>
        <v>#N/A</v>
      </c>
      <c r="B10" s="100"/>
      <c r="C10" s="100"/>
      <c r="D10" s="96"/>
      <c r="E10" s="96"/>
      <c r="F10" s="150"/>
      <c r="G10" s="97"/>
      <c r="H10" s="95"/>
      <c r="I10" s="97"/>
      <c r="J10" s="145">
        <f t="shared" si="16"/>
        <v>0</v>
      </c>
      <c r="K10" s="298"/>
      <c r="L10" s="299">
        <f t="shared" si="17"/>
        <v>0</v>
      </c>
      <c r="M10" s="97"/>
      <c r="N10" s="95"/>
      <c r="O10" s="95">
        <v>21.25</v>
      </c>
      <c r="P10" s="101"/>
      <c r="Q10" s="145">
        <f t="shared" si="18"/>
        <v>0</v>
      </c>
      <c r="R10" s="145">
        <f t="shared" si="19"/>
        <v>0</v>
      </c>
      <c r="S10" s="145">
        <f t="shared" si="20"/>
        <v>0</v>
      </c>
      <c r="T10" s="97" t="s">
        <v>570</v>
      </c>
      <c r="U10" s="97"/>
      <c r="V10" s="97"/>
      <c r="W10" s="97"/>
      <c r="X10" s="97"/>
      <c r="Y10" s="146">
        <f t="shared" si="21"/>
        <v>0</v>
      </c>
      <c r="Z10" s="147">
        <f t="shared" si="22"/>
        <v>0</v>
      </c>
      <c r="AA10" s="147">
        <f t="shared" si="23"/>
        <v>0</v>
      </c>
      <c r="AB10" s="146">
        <f t="shared" si="24"/>
        <v>21.25</v>
      </c>
      <c r="AC10" s="146">
        <f t="shared" si="25"/>
        <v>0</v>
      </c>
      <c r="AD10" s="148">
        <f t="shared" si="26"/>
        <v>0</v>
      </c>
      <c r="AE10" s="148">
        <f t="shared" si="27"/>
        <v>0</v>
      </c>
      <c r="AF10" s="148">
        <f t="shared" si="28"/>
        <v>0</v>
      </c>
      <c r="AG10" s="149">
        <f t="shared" si="29"/>
        <v>0</v>
      </c>
      <c r="AH10" s="149">
        <f t="shared" si="30"/>
        <v>0</v>
      </c>
      <c r="AI10" s="383">
        <f t="shared" si="31"/>
        <v>0</v>
      </c>
      <c r="AJ10" s="149">
        <f t="shared" si="32"/>
        <v>0</v>
      </c>
    </row>
    <row r="11" spans="1:36" s="64" customFormat="1" x14ac:dyDescent="0.25">
      <c r="A11" s="94" t="e">
        <f>IF(UC_DADOS!$B$2=0,"",UC_DADOS!$B$2)</f>
        <v>#N/A</v>
      </c>
      <c r="B11" s="100"/>
      <c r="C11" s="100"/>
      <c r="D11" s="96"/>
      <c r="E11" s="96"/>
      <c r="F11" s="150"/>
      <c r="G11" s="97"/>
      <c r="H11" s="95"/>
      <c r="I11" s="97"/>
      <c r="J11" s="145">
        <f t="shared" si="16"/>
        <v>0</v>
      </c>
      <c r="K11" s="298"/>
      <c r="L11" s="299">
        <f t="shared" si="17"/>
        <v>0</v>
      </c>
      <c r="M11" s="97"/>
      <c r="N11" s="95"/>
      <c r="O11" s="95">
        <v>21.25</v>
      </c>
      <c r="P11" s="101"/>
      <c r="Q11" s="145">
        <f t="shared" si="18"/>
        <v>0</v>
      </c>
      <c r="R11" s="145">
        <f t="shared" si="19"/>
        <v>0</v>
      </c>
      <c r="S11" s="145">
        <f t="shared" si="20"/>
        <v>0</v>
      </c>
      <c r="T11" s="97" t="s">
        <v>570</v>
      </c>
      <c r="U11" s="97"/>
      <c r="V11" s="97"/>
      <c r="W11" s="97"/>
      <c r="X11" s="97"/>
      <c r="Y11" s="146">
        <f t="shared" si="21"/>
        <v>0</v>
      </c>
      <c r="Z11" s="147">
        <f t="shared" si="22"/>
        <v>0</v>
      </c>
      <c r="AA11" s="147">
        <f t="shared" si="23"/>
        <v>0</v>
      </c>
      <c r="AB11" s="146">
        <f t="shared" si="24"/>
        <v>21.25</v>
      </c>
      <c r="AC11" s="146">
        <f t="shared" si="25"/>
        <v>0</v>
      </c>
      <c r="AD11" s="148">
        <f t="shared" si="26"/>
        <v>0</v>
      </c>
      <c r="AE11" s="148">
        <f t="shared" si="27"/>
        <v>0</v>
      </c>
      <c r="AF11" s="148">
        <f t="shared" si="28"/>
        <v>0</v>
      </c>
      <c r="AG11" s="149">
        <f t="shared" si="29"/>
        <v>0</v>
      </c>
      <c r="AH11" s="149">
        <f t="shared" si="30"/>
        <v>0</v>
      </c>
      <c r="AI11" s="383">
        <f t="shared" si="31"/>
        <v>0</v>
      </c>
      <c r="AJ11" s="149">
        <f t="shared" si="32"/>
        <v>0</v>
      </c>
    </row>
    <row r="12" spans="1:36" s="64" customFormat="1" x14ac:dyDescent="0.25">
      <c r="A12" s="94" t="e">
        <f>IF(UC_DADOS!$B$2=0,"",UC_DADOS!$B$2)</f>
        <v>#N/A</v>
      </c>
      <c r="B12" s="100"/>
      <c r="C12" s="100"/>
      <c r="D12" s="96"/>
      <c r="E12" s="96"/>
      <c r="F12" s="150"/>
      <c r="G12" s="97"/>
      <c r="H12" s="95"/>
      <c r="I12" s="97"/>
      <c r="J12" s="145">
        <f t="shared" si="16"/>
        <v>0</v>
      </c>
      <c r="K12" s="298"/>
      <c r="L12" s="299">
        <f t="shared" si="17"/>
        <v>0</v>
      </c>
      <c r="M12" s="97"/>
      <c r="N12" s="95"/>
      <c r="O12" s="95">
        <v>21.25</v>
      </c>
      <c r="P12" s="101"/>
      <c r="Q12" s="145">
        <f t="shared" si="18"/>
        <v>0</v>
      </c>
      <c r="R12" s="145">
        <f t="shared" si="19"/>
        <v>0</v>
      </c>
      <c r="S12" s="145">
        <f t="shared" si="20"/>
        <v>0</v>
      </c>
      <c r="T12" s="97" t="s">
        <v>570</v>
      </c>
      <c r="U12" s="97"/>
      <c r="V12" s="97"/>
      <c r="W12" s="97"/>
      <c r="X12" s="97"/>
      <c r="Y12" s="146">
        <f t="shared" si="21"/>
        <v>0</v>
      </c>
      <c r="Z12" s="147">
        <f t="shared" si="22"/>
        <v>0</v>
      </c>
      <c r="AA12" s="147">
        <f t="shared" si="23"/>
        <v>0</v>
      </c>
      <c r="AB12" s="146">
        <f t="shared" si="24"/>
        <v>21.25</v>
      </c>
      <c r="AC12" s="146">
        <f t="shared" si="25"/>
        <v>0</v>
      </c>
      <c r="AD12" s="148">
        <f t="shared" si="26"/>
        <v>0</v>
      </c>
      <c r="AE12" s="148">
        <f t="shared" si="27"/>
        <v>0</v>
      </c>
      <c r="AF12" s="148">
        <f t="shared" si="28"/>
        <v>0</v>
      </c>
      <c r="AG12" s="149">
        <f t="shared" si="29"/>
        <v>0</v>
      </c>
      <c r="AH12" s="149">
        <f t="shared" si="30"/>
        <v>0</v>
      </c>
      <c r="AI12" s="383">
        <f t="shared" si="31"/>
        <v>0</v>
      </c>
      <c r="AJ12" s="149">
        <f t="shared" si="32"/>
        <v>0</v>
      </c>
    </row>
    <row r="13" spans="1:36" s="64" customFormat="1" x14ac:dyDescent="0.25">
      <c r="A13" s="94" t="e">
        <f>IF(UC_DADOS!$B$2=0,"",UC_DADOS!$B$2)</f>
        <v>#N/A</v>
      </c>
      <c r="B13" s="100"/>
      <c r="C13" s="100"/>
      <c r="D13" s="96"/>
      <c r="E13" s="96"/>
      <c r="F13" s="150"/>
      <c r="G13" s="97"/>
      <c r="H13" s="95"/>
      <c r="I13" s="97"/>
      <c r="J13" s="145">
        <f t="shared" si="16"/>
        <v>0</v>
      </c>
      <c r="K13" s="298"/>
      <c r="L13" s="299">
        <f t="shared" si="17"/>
        <v>0</v>
      </c>
      <c r="M13" s="97"/>
      <c r="N13" s="95"/>
      <c r="O13" s="95">
        <v>21.25</v>
      </c>
      <c r="P13" s="101"/>
      <c r="Q13" s="145">
        <f t="shared" si="18"/>
        <v>0</v>
      </c>
      <c r="R13" s="145">
        <f t="shared" si="19"/>
        <v>0</v>
      </c>
      <c r="S13" s="145">
        <f t="shared" si="20"/>
        <v>0</v>
      </c>
      <c r="T13" s="97" t="s">
        <v>570</v>
      </c>
      <c r="U13" s="97"/>
      <c r="V13" s="97"/>
      <c r="W13" s="97"/>
      <c r="X13" s="97"/>
      <c r="Y13" s="146">
        <f t="shared" si="21"/>
        <v>0</v>
      </c>
      <c r="Z13" s="147">
        <f t="shared" si="22"/>
        <v>0</v>
      </c>
      <c r="AA13" s="147">
        <f t="shared" si="23"/>
        <v>0</v>
      </c>
      <c r="AB13" s="146">
        <f t="shared" si="24"/>
        <v>21.25</v>
      </c>
      <c r="AC13" s="146">
        <f t="shared" si="25"/>
        <v>0</v>
      </c>
      <c r="AD13" s="148">
        <f t="shared" si="26"/>
        <v>0</v>
      </c>
      <c r="AE13" s="148">
        <f t="shared" si="27"/>
        <v>0</v>
      </c>
      <c r="AF13" s="148">
        <f t="shared" si="28"/>
        <v>0</v>
      </c>
      <c r="AG13" s="149">
        <f t="shared" si="29"/>
        <v>0</v>
      </c>
      <c r="AH13" s="149">
        <f t="shared" si="30"/>
        <v>0</v>
      </c>
      <c r="AI13" s="383">
        <f t="shared" si="31"/>
        <v>0</v>
      </c>
      <c r="AJ13" s="149">
        <f t="shared" si="32"/>
        <v>0</v>
      </c>
    </row>
    <row r="14" spans="1:36" s="64" customFormat="1" x14ac:dyDescent="0.25">
      <c r="A14" s="94" t="e">
        <f>IF(UC_DADOS!$B$2=0,"",UC_DADOS!$B$2)</f>
        <v>#N/A</v>
      </c>
      <c r="B14" s="100"/>
      <c r="C14" s="100"/>
      <c r="D14" s="96"/>
      <c r="E14" s="96"/>
      <c r="F14" s="150"/>
      <c r="G14" s="97"/>
      <c r="H14" s="95"/>
      <c r="I14" s="97"/>
      <c r="J14" s="145">
        <f t="shared" si="16"/>
        <v>0</v>
      </c>
      <c r="K14" s="298"/>
      <c r="L14" s="299">
        <f t="shared" si="17"/>
        <v>0</v>
      </c>
      <c r="M14" s="97"/>
      <c r="N14" s="95"/>
      <c r="O14" s="95">
        <v>21.25</v>
      </c>
      <c r="P14" s="101"/>
      <c r="Q14" s="145">
        <f t="shared" si="18"/>
        <v>0</v>
      </c>
      <c r="R14" s="145">
        <f t="shared" si="19"/>
        <v>0</v>
      </c>
      <c r="S14" s="145">
        <f t="shared" si="20"/>
        <v>0</v>
      </c>
      <c r="T14" s="97" t="s">
        <v>570</v>
      </c>
      <c r="U14" s="97"/>
      <c r="V14" s="97"/>
      <c r="W14" s="97"/>
      <c r="X14" s="97"/>
      <c r="Y14" s="146">
        <f t="shared" si="21"/>
        <v>0</v>
      </c>
      <c r="Z14" s="147">
        <f t="shared" si="22"/>
        <v>0</v>
      </c>
      <c r="AA14" s="147">
        <f t="shared" si="23"/>
        <v>0</v>
      </c>
      <c r="AB14" s="146">
        <f t="shared" si="24"/>
        <v>21.25</v>
      </c>
      <c r="AC14" s="146">
        <f t="shared" si="25"/>
        <v>0</v>
      </c>
      <c r="AD14" s="148">
        <f t="shared" si="26"/>
        <v>0</v>
      </c>
      <c r="AE14" s="148">
        <f t="shared" si="27"/>
        <v>0</v>
      </c>
      <c r="AF14" s="148">
        <f t="shared" si="28"/>
        <v>0</v>
      </c>
      <c r="AG14" s="149">
        <f t="shared" si="29"/>
        <v>0</v>
      </c>
      <c r="AH14" s="149">
        <f t="shared" si="30"/>
        <v>0</v>
      </c>
      <c r="AI14" s="383">
        <f t="shared" si="31"/>
        <v>0</v>
      </c>
      <c r="AJ14" s="149">
        <f t="shared" si="32"/>
        <v>0</v>
      </c>
    </row>
    <row r="15" spans="1:36" s="64" customFormat="1" x14ac:dyDescent="0.25">
      <c r="A15" s="94" t="e">
        <f>IF(UC_DADOS!$B$2=0,"",UC_DADOS!$B$2)</f>
        <v>#N/A</v>
      </c>
      <c r="B15" s="100"/>
      <c r="C15" s="100"/>
      <c r="D15" s="96"/>
      <c r="E15" s="96"/>
      <c r="F15" s="150"/>
      <c r="G15" s="97"/>
      <c r="H15" s="95"/>
      <c r="I15" s="97"/>
      <c r="J15" s="145">
        <f t="shared" si="16"/>
        <v>0</v>
      </c>
      <c r="K15" s="298"/>
      <c r="L15" s="299">
        <f t="shared" si="17"/>
        <v>0</v>
      </c>
      <c r="M15" s="97"/>
      <c r="N15" s="95"/>
      <c r="O15" s="95">
        <v>21.25</v>
      </c>
      <c r="P15" s="101"/>
      <c r="Q15" s="145">
        <f t="shared" si="18"/>
        <v>0</v>
      </c>
      <c r="R15" s="145">
        <f t="shared" si="19"/>
        <v>0</v>
      </c>
      <c r="S15" s="145">
        <f t="shared" si="20"/>
        <v>0</v>
      </c>
      <c r="T15" s="97" t="s">
        <v>570</v>
      </c>
      <c r="U15" s="97"/>
      <c r="V15" s="97"/>
      <c r="W15" s="97"/>
      <c r="X15" s="97"/>
      <c r="Y15" s="146">
        <f t="shared" si="21"/>
        <v>0</v>
      </c>
      <c r="Z15" s="147">
        <f t="shared" si="22"/>
        <v>0</v>
      </c>
      <c r="AA15" s="147">
        <f t="shared" si="23"/>
        <v>0</v>
      </c>
      <c r="AB15" s="146">
        <f t="shared" si="24"/>
        <v>21.25</v>
      </c>
      <c r="AC15" s="146">
        <f t="shared" si="25"/>
        <v>0</v>
      </c>
      <c r="AD15" s="148">
        <f t="shared" si="26"/>
        <v>0</v>
      </c>
      <c r="AE15" s="148">
        <f t="shared" si="27"/>
        <v>0</v>
      </c>
      <c r="AF15" s="148">
        <f t="shared" si="28"/>
        <v>0</v>
      </c>
      <c r="AG15" s="149">
        <f t="shared" si="29"/>
        <v>0</v>
      </c>
      <c r="AH15" s="149">
        <f t="shared" si="30"/>
        <v>0</v>
      </c>
      <c r="AI15" s="383">
        <f t="shared" si="31"/>
        <v>0</v>
      </c>
      <c r="AJ15" s="149">
        <f t="shared" si="32"/>
        <v>0</v>
      </c>
    </row>
    <row r="16" spans="1:36" s="64" customFormat="1" x14ac:dyDescent="0.25">
      <c r="A16" s="94" t="e">
        <f>IF(UC_DADOS!$B$2=0,"",UC_DADOS!$B$2)</f>
        <v>#N/A</v>
      </c>
      <c r="B16" s="100"/>
      <c r="C16" s="100"/>
      <c r="D16" s="96"/>
      <c r="E16" s="96"/>
      <c r="F16" s="150"/>
      <c r="G16" s="97"/>
      <c r="H16" s="95"/>
      <c r="I16" s="97"/>
      <c r="J16" s="145">
        <f t="shared" si="16"/>
        <v>0</v>
      </c>
      <c r="K16" s="298"/>
      <c r="L16" s="299">
        <f t="shared" si="17"/>
        <v>0</v>
      </c>
      <c r="M16" s="97"/>
      <c r="N16" s="95"/>
      <c r="O16" s="95">
        <v>21.25</v>
      </c>
      <c r="P16" s="101"/>
      <c r="Q16" s="145">
        <f t="shared" si="18"/>
        <v>0</v>
      </c>
      <c r="R16" s="145">
        <f t="shared" si="19"/>
        <v>0</v>
      </c>
      <c r="S16" s="145">
        <f t="shared" si="20"/>
        <v>0</v>
      </c>
      <c r="T16" s="97" t="s">
        <v>570</v>
      </c>
      <c r="U16" s="97"/>
      <c r="V16" s="97"/>
      <c r="W16" s="97"/>
      <c r="X16" s="97"/>
      <c r="Y16" s="146">
        <f t="shared" si="21"/>
        <v>0</v>
      </c>
      <c r="Z16" s="147">
        <f t="shared" si="22"/>
        <v>0</v>
      </c>
      <c r="AA16" s="147">
        <f t="shared" si="23"/>
        <v>0</v>
      </c>
      <c r="AB16" s="146">
        <f t="shared" si="24"/>
        <v>21.25</v>
      </c>
      <c r="AC16" s="146">
        <f t="shared" si="25"/>
        <v>0</v>
      </c>
      <c r="AD16" s="148">
        <f t="shared" si="26"/>
        <v>0</v>
      </c>
      <c r="AE16" s="148">
        <f t="shared" si="27"/>
        <v>0</v>
      </c>
      <c r="AF16" s="148">
        <f t="shared" si="28"/>
        <v>0</v>
      </c>
      <c r="AG16" s="149">
        <f t="shared" si="29"/>
        <v>0</v>
      </c>
      <c r="AH16" s="149">
        <f t="shared" si="30"/>
        <v>0</v>
      </c>
      <c r="AI16" s="383">
        <f t="shared" si="31"/>
        <v>0</v>
      </c>
      <c r="AJ16" s="149">
        <f t="shared" si="32"/>
        <v>0</v>
      </c>
    </row>
    <row r="17" spans="1:36" s="64" customFormat="1" x14ac:dyDescent="0.25">
      <c r="A17" s="94" t="e">
        <f>IF(UC_DADOS!$B$2=0,"",UC_DADOS!$B$2)</f>
        <v>#N/A</v>
      </c>
      <c r="B17" s="100"/>
      <c r="C17" s="100"/>
      <c r="D17" s="96"/>
      <c r="E17" s="96"/>
      <c r="F17" s="150"/>
      <c r="G17" s="97"/>
      <c r="H17" s="95"/>
      <c r="I17" s="97"/>
      <c r="J17" s="145">
        <f t="shared" si="16"/>
        <v>0</v>
      </c>
      <c r="K17" s="298"/>
      <c r="L17" s="299">
        <f t="shared" si="17"/>
        <v>0</v>
      </c>
      <c r="M17" s="97"/>
      <c r="N17" s="95"/>
      <c r="O17" s="95">
        <v>21.25</v>
      </c>
      <c r="P17" s="101"/>
      <c r="Q17" s="145">
        <f t="shared" si="18"/>
        <v>0</v>
      </c>
      <c r="R17" s="145">
        <f t="shared" si="19"/>
        <v>0</v>
      </c>
      <c r="S17" s="145">
        <f t="shared" si="20"/>
        <v>0</v>
      </c>
      <c r="T17" s="97" t="s">
        <v>570</v>
      </c>
      <c r="U17" s="97"/>
      <c r="V17" s="97"/>
      <c r="W17" s="97"/>
      <c r="X17" s="97"/>
      <c r="Y17" s="146">
        <f t="shared" si="21"/>
        <v>0</v>
      </c>
      <c r="Z17" s="147">
        <f t="shared" si="22"/>
        <v>0</v>
      </c>
      <c r="AA17" s="147">
        <f t="shared" si="23"/>
        <v>0</v>
      </c>
      <c r="AB17" s="146">
        <f t="shared" si="24"/>
        <v>21.25</v>
      </c>
      <c r="AC17" s="146">
        <f t="shared" si="25"/>
        <v>0</v>
      </c>
      <c r="AD17" s="148">
        <f t="shared" si="26"/>
        <v>0</v>
      </c>
      <c r="AE17" s="148">
        <f t="shared" si="27"/>
        <v>0</v>
      </c>
      <c r="AF17" s="148">
        <f t="shared" si="28"/>
        <v>0</v>
      </c>
      <c r="AG17" s="149">
        <f t="shared" si="29"/>
        <v>0</v>
      </c>
      <c r="AH17" s="149">
        <f t="shared" si="30"/>
        <v>0</v>
      </c>
      <c r="AI17" s="383">
        <f t="shared" si="31"/>
        <v>0</v>
      </c>
      <c r="AJ17" s="149">
        <f t="shared" si="32"/>
        <v>0</v>
      </c>
    </row>
    <row r="18" spans="1:36" s="64" customFormat="1" x14ac:dyDescent="0.25">
      <c r="A18" s="94" t="e">
        <f>IF(UC_DADOS!$B$2=0,"",UC_DADOS!$B$2)</f>
        <v>#N/A</v>
      </c>
      <c r="B18" s="100"/>
      <c r="C18" s="100"/>
      <c r="D18" s="96"/>
      <c r="E18" s="96"/>
      <c r="F18" s="150"/>
      <c r="G18" s="97"/>
      <c r="H18" s="95"/>
      <c r="I18" s="97"/>
      <c r="J18" s="145">
        <f t="shared" si="16"/>
        <v>0</v>
      </c>
      <c r="K18" s="298"/>
      <c r="L18" s="299">
        <f t="shared" si="17"/>
        <v>0</v>
      </c>
      <c r="M18" s="97"/>
      <c r="N18" s="95"/>
      <c r="O18" s="95">
        <v>21.25</v>
      </c>
      <c r="P18" s="101"/>
      <c r="Q18" s="145">
        <f t="shared" si="18"/>
        <v>0</v>
      </c>
      <c r="R18" s="145">
        <f t="shared" si="19"/>
        <v>0</v>
      </c>
      <c r="S18" s="145">
        <f t="shared" si="20"/>
        <v>0</v>
      </c>
      <c r="T18" s="97" t="s">
        <v>570</v>
      </c>
      <c r="U18" s="97"/>
      <c r="V18" s="97"/>
      <c r="W18" s="97"/>
      <c r="X18" s="97"/>
      <c r="Y18" s="146">
        <f t="shared" si="21"/>
        <v>0</v>
      </c>
      <c r="Z18" s="147">
        <f t="shared" si="22"/>
        <v>0</v>
      </c>
      <c r="AA18" s="147">
        <f t="shared" si="23"/>
        <v>0</v>
      </c>
      <c r="AB18" s="146">
        <f t="shared" si="24"/>
        <v>21.25</v>
      </c>
      <c r="AC18" s="146">
        <f t="shared" si="25"/>
        <v>0</v>
      </c>
      <c r="AD18" s="148">
        <f t="shared" si="26"/>
        <v>0</v>
      </c>
      <c r="AE18" s="148">
        <f t="shared" si="27"/>
        <v>0</v>
      </c>
      <c r="AF18" s="148">
        <f t="shared" si="28"/>
        <v>0</v>
      </c>
      <c r="AG18" s="149">
        <f t="shared" si="29"/>
        <v>0</v>
      </c>
      <c r="AH18" s="149">
        <f t="shared" si="30"/>
        <v>0</v>
      </c>
      <c r="AI18" s="383">
        <f t="shared" si="31"/>
        <v>0</v>
      </c>
      <c r="AJ18" s="149">
        <f t="shared" si="32"/>
        <v>0</v>
      </c>
    </row>
    <row r="19" spans="1:36" s="64" customFormat="1" x14ac:dyDescent="0.25">
      <c r="A19" s="94" t="e">
        <f>IF(UC_DADOS!$B$2=0,"",UC_DADOS!$B$2)</f>
        <v>#N/A</v>
      </c>
      <c r="B19" s="100"/>
      <c r="C19" s="100"/>
      <c r="D19" s="96"/>
      <c r="E19" s="96"/>
      <c r="F19" s="150"/>
      <c r="G19" s="97"/>
      <c r="H19" s="95"/>
      <c r="I19" s="97"/>
      <c r="J19" s="145">
        <f t="shared" si="16"/>
        <v>0</v>
      </c>
      <c r="K19" s="298"/>
      <c r="L19" s="299">
        <f t="shared" si="17"/>
        <v>0</v>
      </c>
      <c r="M19" s="97"/>
      <c r="N19" s="95"/>
      <c r="O19" s="95">
        <v>21.25</v>
      </c>
      <c r="P19" s="101"/>
      <c r="Q19" s="145">
        <f t="shared" si="18"/>
        <v>0</v>
      </c>
      <c r="R19" s="145">
        <f t="shared" si="19"/>
        <v>0</v>
      </c>
      <c r="S19" s="145">
        <f t="shared" si="20"/>
        <v>0</v>
      </c>
      <c r="T19" s="97" t="s">
        <v>570</v>
      </c>
      <c r="U19" s="97"/>
      <c r="V19" s="97"/>
      <c r="W19" s="97"/>
      <c r="X19" s="97"/>
      <c r="Y19" s="146">
        <f t="shared" si="21"/>
        <v>0</v>
      </c>
      <c r="Z19" s="147">
        <f t="shared" si="22"/>
        <v>0</v>
      </c>
      <c r="AA19" s="147">
        <f t="shared" si="23"/>
        <v>0</v>
      </c>
      <c r="AB19" s="146">
        <f t="shared" si="24"/>
        <v>21.25</v>
      </c>
      <c r="AC19" s="146">
        <f t="shared" si="25"/>
        <v>0</v>
      </c>
      <c r="AD19" s="148">
        <f t="shared" si="26"/>
        <v>0</v>
      </c>
      <c r="AE19" s="148">
        <f t="shared" si="27"/>
        <v>0</v>
      </c>
      <c r="AF19" s="148">
        <f t="shared" si="28"/>
        <v>0</v>
      </c>
      <c r="AG19" s="149">
        <f t="shared" si="29"/>
        <v>0</v>
      </c>
      <c r="AH19" s="149">
        <f t="shared" si="30"/>
        <v>0</v>
      </c>
      <c r="AI19" s="383">
        <f t="shared" si="31"/>
        <v>0</v>
      </c>
      <c r="AJ19" s="149">
        <f t="shared" si="32"/>
        <v>0</v>
      </c>
    </row>
    <row r="20" spans="1:36" s="64" customFormat="1" x14ac:dyDescent="0.25">
      <c r="A20" s="94" t="e">
        <f>IF(UC_DADOS!$B$2=0,"",UC_DADOS!$B$2)</f>
        <v>#N/A</v>
      </c>
      <c r="B20" s="100"/>
      <c r="C20" s="100"/>
      <c r="D20" s="96"/>
      <c r="E20" s="96"/>
      <c r="F20" s="150"/>
      <c r="G20" s="97"/>
      <c r="H20" s="95"/>
      <c r="I20" s="97"/>
      <c r="J20" s="145">
        <f t="shared" si="16"/>
        <v>0</v>
      </c>
      <c r="K20" s="298"/>
      <c r="L20" s="299">
        <f t="shared" si="17"/>
        <v>0</v>
      </c>
      <c r="M20" s="97"/>
      <c r="N20" s="95"/>
      <c r="O20" s="95">
        <v>21.25</v>
      </c>
      <c r="P20" s="101"/>
      <c r="Q20" s="145">
        <f t="shared" si="18"/>
        <v>0</v>
      </c>
      <c r="R20" s="145">
        <f t="shared" si="19"/>
        <v>0</v>
      </c>
      <c r="S20" s="145">
        <f t="shared" si="20"/>
        <v>0</v>
      </c>
      <c r="T20" s="97" t="s">
        <v>570</v>
      </c>
      <c r="U20" s="97"/>
      <c r="V20" s="97"/>
      <c r="W20" s="97"/>
      <c r="X20" s="97"/>
      <c r="Y20" s="146">
        <f t="shared" si="21"/>
        <v>0</v>
      </c>
      <c r="Z20" s="147">
        <f t="shared" si="22"/>
        <v>0</v>
      </c>
      <c r="AA20" s="147">
        <f t="shared" si="23"/>
        <v>0</v>
      </c>
      <c r="AB20" s="146">
        <f t="shared" si="24"/>
        <v>21.25</v>
      </c>
      <c r="AC20" s="146">
        <f t="shared" si="25"/>
        <v>0</v>
      </c>
      <c r="AD20" s="148">
        <f t="shared" si="26"/>
        <v>0</v>
      </c>
      <c r="AE20" s="148">
        <f t="shared" si="27"/>
        <v>0</v>
      </c>
      <c r="AF20" s="148">
        <f t="shared" si="28"/>
        <v>0</v>
      </c>
      <c r="AG20" s="149">
        <f t="shared" si="29"/>
        <v>0</v>
      </c>
      <c r="AH20" s="149">
        <f t="shared" si="30"/>
        <v>0</v>
      </c>
      <c r="AI20" s="383">
        <f t="shared" si="31"/>
        <v>0</v>
      </c>
      <c r="AJ20" s="149">
        <f t="shared" si="32"/>
        <v>0</v>
      </c>
    </row>
    <row r="21" spans="1:36" s="64" customFormat="1" x14ac:dyDescent="0.25">
      <c r="A21" s="94" t="e">
        <f>IF(UC_DADOS!$B$2=0,"",UC_DADOS!$B$2)</f>
        <v>#N/A</v>
      </c>
      <c r="B21" s="100"/>
      <c r="C21" s="100"/>
      <c r="D21" s="96"/>
      <c r="E21" s="96"/>
      <c r="F21" s="150"/>
      <c r="G21" s="97"/>
      <c r="H21" s="95"/>
      <c r="I21" s="97"/>
      <c r="J21" s="145">
        <f t="shared" si="16"/>
        <v>0</v>
      </c>
      <c r="K21" s="298"/>
      <c r="L21" s="299">
        <f t="shared" si="17"/>
        <v>0</v>
      </c>
      <c r="M21" s="97"/>
      <c r="N21" s="95"/>
      <c r="O21" s="95">
        <v>21.25</v>
      </c>
      <c r="P21" s="101"/>
      <c r="Q21" s="145">
        <f t="shared" si="18"/>
        <v>0</v>
      </c>
      <c r="R21" s="145">
        <f t="shared" si="19"/>
        <v>0</v>
      </c>
      <c r="S21" s="145">
        <f t="shared" si="20"/>
        <v>0</v>
      </c>
      <c r="T21" s="97" t="s">
        <v>570</v>
      </c>
      <c r="U21" s="97"/>
      <c r="V21" s="97"/>
      <c r="W21" s="97"/>
      <c r="X21" s="97"/>
      <c r="Y21" s="146">
        <f t="shared" si="21"/>
        <v>0</v>
      </c>
      <c r="Z21" s="147">
        <f t="shared" si="22"/>
        <v>0</v>
      </c>
      <c r="AA21" s="147">
        <f t="shared" si="23"/>
        <v>0</v>
      </c>
      <c r="AB21" s="146">
        <f t="shared" si="24"/>
        <v>21.25</v>
      </c>
      <c r="AC21" s="146">
        <f t="shared" si="25"/>
        <v>0</v>
      </c>
      <c r="AD21" s="148">
        <f t="shared" si="26"/>
        <v>0</v>
      </c>
      <c r="AE21" s="148">
        <f t="shared" si="27"/>
        <v>0</v>
      </c>
      <c r="AF21" s="148">
        <f t="shared" si="28"/>
        <v>0</v>
      </c>
      <c r="AG21" s="149">
        <f t="shared" si="29"/>
        <v>0</v>
      </c>
      <c r="AH21" s="149">
        <f t="shared" si="30"/>
        <v>0</v>
      </c>
      <c r="AI21" s="383">
        <f t="shared" si="31"/>
        <v>0</v>
      </c>
      <c r="AJ21" s="149">
        <f t="shared" si="32"/>
        <v>0</v>
      </c>
    </row>
    <row r="22" spans="1:36" s="64" customFormat="1" x14ac:dyDescent="0.25">
      <c r="A22" s="94" t="e">
        <f>IF(UC_DADOS!$B$2=0,"",UC_DADOS!$B$2)</f>
        <v>#N/A</v>
      </c>
      <c r="B22" s="100"/>
      <c r="C22" s="100"/>
      <c r="D22" s="96"/>
      <c r="E22" s="96"/>
      <c r="F22" s="150"/>
      <c r="G22" s="97"/>
      <c r="H22" s="95"/>
      <c r="I22" s="97"/>
      <c r="J22" s="145">
        <f t="shared" si="16"/>
        <v>0</v>
      </c>
      <c r="K22" s="298"/>
      <c r="L22" s="299">
        <f t="shared" si="17"/>
        <v>0</v>
      </c>
      <c r="M22" s="97"/>
      <c r="N22" s="95"/>
      <c r="O22" s="95">
        <v>21.25</v>
      </c>
      <c r="P22" s="101"/>
      <c r="Q22" s="145">
        <f t="shared" si="18"/>
        <v>0</v>
      </c>
      <c r="R22" s="145">
        <f t="shared" si="19"/>
        <v>0</v>
      </c>
      <c r="S22" s="145">
        <f t="shared" si="20"/>
        <v>0</v>
      </c>
      <c r="T22" s="97" t="s">
        <v>570</v>
      </c>
      <c r="U22" s="97"/>
      <c r="V22" s="97"/>
      <c r="W22" s="97"/>
      <c r="X22" s="97"/>
      <c r="Y22" s="146">
        <f t="shared" si="21"/>
        <v>0</v>
      </c>
      <c r="Z22" s="147">
        <f t="shared" si="22"/>
        <v>0</v>
      </c>
      <c r="AA22" s="147">
        <f t="shared" si="23"/>
        <v>0</v>
      </c>
      <c r="AB22" s="146">
        <f t="shared" si="24"/>
        <v>21.25</v>
      </c>
      <c r="AC22" s="146">
        <f t="shared" si="25"/>
        <v>0</v>
      </c>
      <c r="AD22" s="148">
        <f t="shared" si="26"/>
        <v>0</v>
      </c>
      <c r="AE22" s="148">
        <f t="shared" si="27"/>
        <v>0</v>
      </c>
      <c r="AF22" s="148">
        <f t="shared" si="28"/>
        <v>0</v>
      </c>
      <c r="AG22" s="149">
        <f t="shared" si="29"/>
        <v>0</v>
      </c>
      <c r="AH22" s="149">
        <f t="shared" si="30"/>
        <v>0</v>
      </c>
      <c r="AI22" s="383">
        <f t="shared" si="31"/>
        <v>0</v>
      </c>
      <c r="AJ22" s="149">
        <f t="shared" si="32"/>
        <v>0</v>
      </c>
    </row>
    <row r="23" spans="1:36" s="64" customFormat="1" x14ac:dyDescent="0.25">
      <c r="A23" s="94" t="e">
        <f>IF(UC_DADOS!$B$2=0,"",UC_DADOS!$B$2)</f>
        <v>#N/A</v>
      </c>
      <c r="B23" s="100"/>
      <c r="C23" s="100"/>
      <c r="D23" s="96"/>
      <c r="E23" s="96"/>
      <c r="F23" s="150"/>
      <c r="G23" s="97"/>
      <c r="H23" s="95"/>
      <c r="I23" s="97"/>
      <c r="J23" s="145">
        <f t="shared" si="16"/>
        <v>0</v>
      </c>
      <c r="K23" s="298"/>
      <c r="L23" s="299">
        <f t="shared" si="17"/>
        <v>0</v>
      </c>
      <c r="M23" s="97"/>
      <c r="N23" s="95"/>
      <c r="O23" s="95">
        <v>21.25</v>
      </c>
      <c r="P23" s="101"/>
      <c r="Q23" s="145">
        <f t="shared" si="18"/>
        <v>0</v>
      </c>
      <c r="R23" s="145">
        <f t="shared" si="19"/>
        <v>0</v>
      </c>
      <c r="S23" s="145">
        <f t="shared" si="20"/>
        <v>0</v>
      </c>
      <c r="T23" s="97" t="s">
        <v>570</v>
      </c>
      <c r="U23" s="97"/>
      <c r="V23" s="97"/>
      <c r="W23" s="97"/>
      <c r="X23" s="97"/>
      <c r="Y23" s="146">
        <f t="shared" si="21"/>
        <v>0</v>
      </c>
      <c r="Z23" s="147">
        <f t="shared" si="22"/>
        <v>0</v>
      </c>
      <c r="AA23" s="147">
        <f t="shared" si="23"/>
        <v>0</v>
      </c>
      <c r="AB23" s="146">
        <f t="shared" si="24"/>
        <v>21.25</v>
      </c>
      <c r="AC23" s="146">
        <f t="shared" si="25"/>
        <v>0</v>
      </c>
      <c r="AD23" s="148">
        <f t="shared" si="26"/>
        <v>0</v>
      </c>
      <c r="AE23" s="148">
        <f t="shared" si="27"/>
        <v>0</v>
      </c>
      <c r="AF23" s="148">
        <f t="shared" si="28"/>
        <v>0</v>
      </c>
      <c r="AG23" s="149">
        <f t="shared" si="29"/>
        <v>0</v>
      </c>
      <c r="AH23" s="149">
        <f t="shared" si="30"/>
        <v>0</v>
      </c>
      <c r="AI23" s="383">
        <f t="shared" si="31"/>
        <v>0</v>
      </c>
      <c r="AJ23" s="149">
        <f t="shared" si="32"/>
        <v>0</v>
      </c>
    </row>
    <row r="24" spans="1:36" s="64" customFormat="1" x14ac:dyDescent="0.25">
      <c r="A24" s="94" t="e">
        <f>IF(UC_DADOS!$B$2=0,"",UC_DADOS!$B$2)</f>
        <v>#N/A</v>
      </c>
      <c r="B24" s="100"/>
      <c r="C24" s="100"/>
      <c r="D24" s="96"/>
      <c r="E24" s="96"/>
      <c r="F24" s="150"/>
      <c r="G24" s="97"/>
      <c r="H24" s="95"/>
      <c r="I24" s="97"/>
      <c r="J24" s="145">
        <f t="shared" si="16"/>
        <v>0</v>
      </c>
      <c r="K24" s="298"/>
      <c r="L24" s="299">
        <f t="shared" si="17"/>
        <v>0</v>
      </c>
      <c r="M24" s="97"/>
      <c r="N24" s="95"/>
      <c r="O24" s="95">
        <v>21.25</v>
      </c>
      <c r="P24" s="101"/>
      <c r="Q24" s="145">
        <f t="shared" si="18"/>
        <v>0</v>
      </c>
      <c r="R24" s="145">
        <f t="shared" si="19"/>
        <v>0</v>
      </c>
      <c r="S24" s="145">
        <f t="shared" si="20"/>
        <v>0</v>
      </c>
      <c r="T24" s="97" t="s">
        <v>570</v>
      </c>
      <c r="U24" s="97"/>
      <c r="V24" s="97"/>
      <c r="W24" s="97"/>
      <c r="X24" s="97"/>
      <c r="Y24" s="146">
        <f t="shared" si="21"/>
        <v>0</v>
      </c>
      <c r="Z24" s="147">
        <f t="shared" si="22"/>
        <v>0</v>
      </c>
      <c r="AA24" s="147">
        <f t="shared" si="23"/>
        <v>0</v>
      </c>
      <c r="AB24" s="146">
        <f t="shared" si="24"/>
        <v>21.25</v>
      </c>
      <c r="AC24" s="146">
        <f t="shared" si="25"/>
        <v>0</v>
      </c>
      <c r="AD24" s="148">
        <f t="shared" si="26"/>
        <v>0</v>
      </c>
      <c r="AE24" s="148">
        <f t="shared" si="27"/>
        <v>0</v>
      </c>
      <c r="AF24" s="148">
        <f t="shared" si="28"/>
        <v>0</v>
      </c>
      <c r="AG24" s="149">
        <f t="shared" si="29"/>
        <v>0</v>
      </c>
      <c r="AH24" s="149">
        <f t="shared" si="30"/>
        <v>0</v>
      </c>
      <c r="AI24" s="383">
        <f t="shared" si="31"/>
        <v>0</v>
      </c>
      <c r="AJ24" s="149">
        <f t="shared" si="32"/>
        <v>0</v>
      </c>
    </row>
    <row r="25" spans="1:36" s="64" customFormat="1" x14ac:dyDescent="0.25">
      <c r="A25" s="94" t="e">
        <f>IF(UC_DADOS!$B$2=0,"",UC_DADOS!$B$2)</f>
        <v>#N/A</v>
      </c>
      <c r="B25" s="100"/>
      <c r="C25" s="100"/>
      <c r="D25" s="96"/>
      <c r="E25" s="96"/>
      <c r="F25" s="150"/>
      <c r="G25" s="97"/>
      <c r="H25" s="95"/>
      <c r="I25" s="97"/>
      <c r="J25" s="145">
        <f t="shared" si="16"/>
        <v>0</v>
      </c>
      <c r="K25" s="298"/>
      <c r="L25" s="299">
        <f t="shared" si="17"/>
        <v>0</v>
      </c>
      <c r="M25" s="97"/>
      <c r="N25" s="95"/>
      <c r="O25" s="95">
        <v>21.25</v>
      </c>
      <c r="P25" s="101"/>
      <c r="Q25" s="145">
        <f t="shared" si="18"/>
        <v>0</v>
      </c>
      <c r="R25" s="145">
        <f t="shared" si="19"/>
        <v>0</v>
      </c>
      <c r="S25" s="145">
        <f t="shared" si="20"/>
        <v>0</v>
      </c>
      <c r="T25" s="97" t="s">
        <v>570</v>
      </c>
      <c r="U25" s="97"/>
      <c r="V25" s="97"/>
      <c r="W25" s="97"/>
      <c r="X25" s="97"/>
      <c r="Y25" s="146">
        <f t="shared" si="21"/>
        <v>0</v>
      </c>
      <c r="Z25" s="147">
        <f t="shared" si="22"/>
        <v>0</v>
      </c>
      <c r="AA25" s="147">
        <f t="shared" si="23"/>
        <v>0</v>
      </c>
      <c r="AB25" s="146">
        <f t="shared" si="24"/>
        <v>21.25</v>
      </c>
      <c r="AC25" s="146">
        <f t="shared" si="25"/>
        <v>0</v>
      </c>
      <c r="AD25" s="148">
        <f t="shared" si="26"/>
        <v>0</v>
      </c>
      <c r="AE25" s="148">
        <f t="shared" si="27"/>
        <v>0</v>
      </c>
      <c r="AF25" s="148">
        <f t="shared" si="28"/>
        <v>0</v>
      </c>
      <c r="AG25" s="149">
        <f t="shared" si="29"/>
        <v>0</v>
      </c>
      <c r="AH25" s="149">
        <f t="shared" si="30"/>
        <v>0</v>
      </c>
      <c r="AI25" s="383">
        <f t="shared" si="31"/>
        <v>0</v>
      </c>
      <c r="AJ25" s="149">
        <f t="shared" si="32"/>
        <v>0</v>
      </c>
    </row>
    <row r="26" spans="1:36" s="64" customFormat="1" x14ac:dyDescent="0.25">
      <c r="A26" s="94" t="e">
        <f>IF(UC_DADOS!$B$2=0,"",UC_DADOS!$B$2)</f>
        <v>#N/A</v>
      </c>
      <c r="B26" s="100"/>
      <c r="C26" s="100"/>
      <c r="D26" s="96"/>
      <c r="E26" s="96"/>
      <c r="F26" s="150"/>
      <c r="G26" s="97"/>
      <c r="H26" s="95"/>
      <c r="I26" s="97"/>
      <c r="J26" s="145">
        <f t="shared" si="16"/>
        <v>0</v>
      </c>
      <c r="K26" s="298"/>
      <c r="L26" s="299">
        <f t="shared" si="17"/>
        <v>0</v>
      </c>
      <c r="M26" s="97"/>
      <c r="N26" s="95"/>
      <c r="O26" s="95">
        <v>21.25</v>
      </c>
      <c r="P26" s="101"/>
      <c r="Q26" s="145">
        <f t="shared" si="18"/>
        <v>0</v>
      </c>
      <c r="R26" s="145">
        <f t="shared" si="19"/>
        <v>0</v>
      </c>
      <c r="S26" s="145">
        <f t="shared" si="20"/>
        <v>0</v>
      </c>
      <c r="T26" s="97" t="s">
        <v>570</v>
      </c>
      <c r="U26" s="97"/>
      <c r="V26" s="97"/>
      <c r="W26" s="97"/>
      <c r="X26" s="97"/>
      <c r="Y26" s="146">
        <f t="shared" si="21"/>
        <v>0</v>
      </c>
      <c r="Z26" s="147">
        <f t="shared" si="22"/>
        <v>0</v>
      </c>
      <c r="AA26" s="147">
        <f t="shared" si="23"/>
        <v>0</v>
      </c>
      <c r="AB26" s="146">
        <f t="shared" si="24"/>
        <v>21.25</v>
      </c>
      <c r="AC26" s="146">
        <f t="shared" si="25"/>
        <v>0</v>
      </c>
      <c r="AD26" s="148">
        <f t="shared" si="26"/>
        <v>0</v>
      </c>
      <c r="AE26" s="148">
        <f t="shared" si="27"/>
        <v>0</v>
      </c>
      <c r="AF26" s="148">
        <f t="shared" si="28"/>
        <v>0</v>
      </c>
      <c r="AG26" s="149">
        <f t="shared" si="29"/>
        <v>0</v>
      </c>
      <c r="AH26" s="149">
        <f t="shared" si="30"/>
        <v>0</v>
      </c>
      <c r="AI26" s="383">
        <f t="shared" si="31"/>
        <v>0</v>
      </c>
      <c r="AJ26" s="149">
        <f t="shared" si="32"/>
        <v>0</v>
      </c>
    </row>
    <row r="27" spans="1:36" s="64" customFormat="1" x14ac:dyDescent="0.25">
      <c r="A27" s="94" t="e">
        <f>IF(UC_DADOS!$B$2=0,"",UC_DADOS!$B$2)</f>
        <v>#N/A</v>
      </c>
      <c r="B27" s="100"/>
      <c r="C27" s="100"/>
      <c r="D27" s="96"/>
      <c r="E27" s="96"/>
      <c r="F27" s="150"/>
      <c r="G27" s="97"/>
      <c r="H27" s="95"/>
      <c r="I27" s="97"/>
      <c r="J27" s="145">
        <f t="shared" si="16"/>
        <v>0</v>
      </c>
      <c r="K27" s="298"/>
      <c r="L27" s="299">
        <f t="shared" si="17"/>
        <v>0</v>
      </c>
      <c r="M27" s="97"/>
      <c r="N27" s="95"/>
      <c r="O27" s="95">
        <v>21.25</v>
      </c>
      <c r="P27" s="101"/>
      <c r="Q27" s="145">
        <f t="shared" si="18"/>
        <v>0</v>
      </c>
      <c r="R27" s="145">
        <f t="shared" si="19"/>
        <v>0</v>
      </c>
      <c r="S27" s="145">
        <f t="shared" si="20"/>
        <v>0</v>
      </c>
      <c r="T27" s="97" t="s">
        <v>570</v>
      </c>
      <c r="U27" s="97"/>
      <c r="V27" s="97"/>
      <c r="W27" s="97"/>
      <c r="X27" s="97"/>
      <c r="Y27" s="146">
        <f t="shared" si="21"/>
        <v>0</v>
      </c>
      <c r="Z27" s="147">
        <f t="shared" si="22"/>
        <v>0</v>
      </c>
      <c r="AA27" s="147">
        <f t="shared" si="23"/>
        <v>0</v>
      </c>
      <c r="AB27" s="146">
        <f t="shared" si="24"/>
        <v>21.25</v>
      </c>
      <c r="AC27" s="146">
        <f t="shared" si="25"/>
        <v>0</v>
      </c>
      <c r="AD27" s="148">
        <f t="shared" si="26"/>
        <v>0</v>
      </c>
      <c r="AE27" s="148">
        <f t="shared" si="27"/>
        <v>0</v>
      </c>
      <c r="AF27" s="148">
        <f t="shared" si="28"/>
        <v>0</v>
      </c>
      <c r="AG27" s="149">
        <f t="shared" si="29"/>
        <v>0</v>
      </c>
      <c r="AH27" s="149">
        <f t="shared" si="30"/>
        <v>0</v>
      </c>
      <c r="AI27" s="383">
        <f t="shared" si="31"/>
        <v>0</v>
      </c>
      <c r="AJ27" s="149">
        <f t="shared" si="32"/>
        <v>0</v>
      </c>
    </row>
    <row r="28" spans="1:36" s="64" customFormat="1" x14ac:dyDescent="0.25">
      <c r="A28" s="94" t="e">
        <f>IF(UC_DADOS!$B$2=0,"",UC_DADOS!$B$2)</f>
        <v>#N/A</v>
      </c>
      <c r="B28" s="100"/>
      <c r="C28" s="100"/>
      <c r="D28" s="96"/>
      <c r="E28" s="96"/>
      <c r="F28" s="150"/>
      <c r="G28" s="97"/>
      <c r="H28" s="95"/>
      <c r="I28" s="97"/>
      <c r="J28" s="145">
        <f t="shared" si="16"/>
        <v>0</v>
      </c>
      <c r="K28" s="298"/>
      <c r="L28" s="299">
        <f t="shared" si="17"/>
        <v>0</v>
      </c>
      <c r="M28" s="97"/>
      <c r="N28" s="95"/>
      <c r="O28" s="95">
        <v>21.25</v>
      </c>
      <c r="P28" s="101"/>
      <c r="Q28" s="145">
        <f t="shared" si="18"/>
        <v>0</v>
      </c>
      <c r="R28" s="145">
        <f t="shared" si="19"/>
        <v>0</v>
      </c>
      <c r="S28" s="145">
        <f t="shared" si="20"/>
        <v>0</v>
      </c>
      <c r="T28" s="97" t="s">
        <v>570</v>
      </c>
      <c r="U28" s="97"/>
      <c r="V28" s="97"/>
      <c r="W28" s="97"/>
      <c r="X28" s="97"/>
      <c r="Y28" s="146">
        <f t="shared" si="21"/>
        <v>0</v>
      </c>
      <c r="Z28" s="147">
        <f t="shared" si="22"/>
        <v>0</v>
      </c>
      <c r="AA28" s="147">
        <f t="shared" si="23"/>
        <v>0</v>
      </c>
      <c r="AB28" s="146">
        <f t="shared" si="24"/>
        <v>21.25</v>
      </c>
      <c r="AC28" s="146">
        <f t="shared" si="25"/>
        <v>0</v>
      </c>
      <c r="AD28" s="148">
        <f t="shared" si="26"/>
        <v>0</v>
      </c>
      <c r="AE28" s="148">
        <f t="shared" si="27"/>
        <v>0</v>
      </c>
      <c r="AF28" s="148">
        <f t="shared" si="28"/>
        <v>0</v>
      </c>
      <c r="AG28" s="149">
        <f t="shared" si="29"/>
        <v>0</v>
      </c>
      <c r="AH28" s="149">
        <f t="shared" si="30"/>
        <v>0</v>
      </c>
      <c r="AI28" s="383">
        <f t="shared" si="31"/>
        <v>0</v>
      </c>
      <c r="AJ28" s="149">
        <f t="shared" si="32"/>
        <v>0</v>
      </c>
    </row>
    <row r="29" spans="1:36" s="64" customFormat="1" x14ac:dyDescent="0.25">
      <c r="A29" s="94" t="e">
        <f>IF(UC_DADOS!$B$2=0,"",UC_DADOS!$B$2)</f>
        <v>#N/A</v>
      </c>
      <c r="B29" s="100"/>
      <c r="C29" s="100"/>
      <c r="D29" s="96"/>
      <c r="E29" s="96"/>
      <c r="F29" s="150"/>
      <c r="G29" s="97"/>
      <c r="H29" s="95"/>
      <c r="I29" s="97"/>
      <c r="J29" s="145">
        <f t="shared" si="16"/>
        <v>0</v>
      </c>
      <c r="K29" s="298"/>
      <c r="L29" s="299">
        <f t="shared" si="17"/>
        <v>0</v>
      </c>
      <c r="M29" s="97"/>
      <c r="N29" s="95"/>
      <c r="O29" s="95">
        <v>21.25</v>
      </c>
      <c r="P29" s="101"/>
      <c r="Q29" s="145">
        <f t="shared" si="18"/>
        <v>0</v>
      </c>
      <c r="R29" s="145">
        <f t="shared" si="19"/>
        <v>0</v>
      </c>
      <c r="S29" s="145">
        <f t="shared" si="20"/>
        <v>0</v>
      </c>
      <c r="T29" s="97" t="s">
        <v>570</v>
      </c>
      <c r="U29" s="97"/>
      <c r="V29" s="97"/>
      <c r="W29" s="97"/>
      <c r="X29" s="97"/>
      <c r="Y29" s="146">
        <f t="shared" si="21"/>
        <v>0</v>
      </c>
      <c r="Z29" s="147">
        <f t="shared" si="22"/>
        <v>0</v>
      </c>
      <c r="AA29" s="147">
        <f t="shared" si="23"/>
        <v>0</v>
      </c>
      <c r="AB29" s="146">
        <f t="shared" si="24"/>
        <v>21.25</v>
      </c>
      <c r="AC29" s="146">
        <f t="shared" si="25"/>
        <v>0</v>
      </c>
      <c r="AD29" s="148">
        <f t="shared" si="26"/>
        <v>0</v>
      </c>
      <c r="AE29" s="148">
        <f t="shared" si="27"/>
        <v>0</v>
      </c>
      <c r="AF29" s="148">
        <f t="shared" si="28"/>
        <v>0</v>
      </c>
      <c r="AG29" s="149">
        <f t="shared" si="29"/>
        <v>0</v>
      </c>
      <c r="AH29" s="149">
        <f t="shared" si="30"/>
        <v>0</v>
      </c>
      <c r="AI29" s="383">
        <f t="shared" si="31"/>
        <v>0</v>
      </c>
      <c r="AJ29" s="149">
        <f t="shared" si="32"/>
        <v>0</v>
      </c>
    </row>
    <row r="30" spans="1:36" s="64" customFormat="1" x14ac:dyDescent="0.25">
      <c r="A30" s="94" t="e">
        <f>IF(UC_DADOS!$B$2=0,"",UC_DADOS!$B$2)</f>
        <v>#N/A</v>
      </c>
      <c r="B30" s="100"/>
      <c r="C30" s="100"/>
      <c r="D30" s="96"/>
      <c r="E30" s="96"/>
      <c r="F30" s="150"/>
      <c r="G30" s="97"/>
      <c r="H30" s="95"/>
      <c r="I30" s="97"/>
      <c r="J30" s="145">
        <f t="shared" si="16"/>
        <v>0</v>
      </c>
      <c r="K30" s="298"/>
      <c r="L30" s="299">
        <f t="shared" si="17"/>
        <v>0</v>
      </c>
      <c r="M30" s="97"/>
      <c r="N30" s="95"/>
      <c r="O30" s="95">
        <v>21.25</v>
      </c>
      <c r="P30" s="101"/>
      <c r="Q30" s="145">
        <f t="shared" si="18"/>
        <v>0</v>
      </c>
      <c r="R30" s="145">
        <f t="shared" si="19"/>
        <v>0</v>
      </c>
      <c r="S30" s="145">
        <f t="shared" si="20"/>
        <v>0</v>
      </c>
      <c r="T30" s="97" t="s">
        <v>570</v>
      </c>
      <c r="U30" s="97"/>
      <c r="V30" s="97"/>
      <c r="W30" s="97"/>
      <c r="X30" s="97"/>
      <c r="Y30" s="146">
        <f t="shared" si="21"/>
        <v>0</v>
      </c>
      <c r="Z30" s="147">
        <f t="shared" si="22"/>
        <v>0</v>
      </c>
      <c r="AA30" s="147">
        <f t="shared" si="23"/>
        <v>0</v>
      </c>
      <c r="AB30" s="146">
        <f t="shared" si="24"/>
        <v>21.25</v>
      </c>
      <c r="AC30" s="146">
        <f t="shared" si="25"/>
        <v>0</v>
      </c>
      <c r="AD30" s="148">
        <f t="shared" si="26"/>
        <v>0</v>
      </c>
      <c r="AE30" s="148">
        <f t="shared" si="27"/>
        <v>0</v>
      </c>
      <c r="AF30" s="148">
        <f t="shared" si="28"/>
        <v>0</v>
      </c>
      <c r="AG30" s="149">
        <f t="shared" si="29"/>
        <v>0</v>
      </c>
      <c r="AH30" s="149">
        <f t="shared" si="30"/>
        <v>0</v>
      </c>
      <c r="AI30" s="383">
        <f t="shared" si="31"/>
        <v>0</v>
      </c>
      <c r="AJ30" s="149">
        <f t="shared" si="32"/>
        <v>0</v>
      </c>
    </row>
    <row r="31" spans="1:36" s="64" customFormat="1" x14ac:dyDescent="0.25">
      <c r="A31" s="94" t="e">
        <f>IF(UC_DADOS!$B$2=0,"",UC_DADOS!$B$2)</f>
        <v>#N/A</v>
      </c>
      <c r="B31" s="100"/>
      <c r="C31" s="100"/>
      <c r="D31" s="96"/>
      <c r="E31" s="96"/>
      <c r="F31" s="150"/>
      <c r="G31" s="97"/>
      <c r="H31" s="95"/>
      <c r="I31" s="97"/>
      <c r="J31" s="145">
        <f t="shared" si="16"/>
        <v>0</v>
      </c>
      <c r="K31" s="298"/>
      <c r="L31" s="299">
        <f t="shared" si="17"/>
        <v>0</v>
      </c>
      <c r="M31" s="97"/>
      <c r="N31" s="95"/>
      <c r="O31" s="95">
        <v>21.25</v>
      </c>
      <c r="P31" s="101"/>
      <c r="Q31" s="145">
        <f t="shared" si="18"/>
        <v>0</v>
      </c>
      <c r="R31" s="145">
        <f t="shared" si="19"/>
        <v>0</v>
      </c>
      <c r="S31" s="145">
        <f t="shared" si="20"/>
        <v>0</v>
      </c>
      <c r="T31" s="97" t="s">
        <v>570</v>
      </c>
      <c r="U31" s="97"/>
      <c r="V31" s="97"/>
      <c r="W31" s="97"/>
      <c r="X31" s="97"/>
      <c r="Y31" s="146">
        <f t="shared" si="21"/>
        <v>0</v>
      </c>
      <c r="Z31" s="147">
        <f t="shared" si="22"/>
        <v>0</v>
      </c>
      <c r="AA31" s="147">
        <f t="shared" si="23"/>
        <v>0</v>
      </c>
      <c r="AB31" s="146">
        <f t="shared" si="24"/>
        <v>21.25</v>
      </c>
      <c r="AC31" s="146">
        <f t="shared" si="25"/>
        <v>0</v>
      </c>
      <c r="AD31" s="148">
        <f t="shared" si="26"/>
        <v>0</v>
      </c>
      <c r="AE31" s="148">
        <f t="shared" si="27"/>
        <v>0</v>
      </c>
      <c r="AF31" s="148">
        <f t="shared" si="28"/>
        <v>0</v>
      </c>
      <c r="AG31" s="149">
        <f t="shared" si="29"/>
        <v>0</v>
      </c>
      <c r="AH31" s="149">
        <f t="shared" si="30"/>
        <v>0</v>
      </c>
      <c r="AI31" s="383">
        <f t="shared" si="31"/>
        <v>0</v>
      </c>
      <c r="AJ31" s="149">
        <f t="shared" si="32"/>
        <v>0</v>
      </c>
    </row>
    <row r="32" spans="1:36" s="64" customFormat="1" x14ac:dyDescent="0.25">
      <c r="A32" s="94" t="e">
        <f>IF(UC_DADOS!$B$2=0,"",UC_DADOS!$B$2)</f>
        <v>#N/A</v>
      </c>
      <c r="B32" s="100"/>
      <c r="C32" s="100"/>
      <c r="D32" s="96"/>
      <c r="E32" s="96"/>
      <c r="F32" s="150"/>
      <c r="G32" s="97"/>
      <c r="H32" s="95"/>
      <c r="I32" s="97"/>
      <c r="J32" s="145">
        <f t="shared" si="16"/>
        <v>0</v>
      </c>
      <c r="K32" s="298"/>
      <c r="L32" s="299">
        <f t="shared" si="17"/>
        <v>0</v>
      </c>
      <c r="M32" s="97"/>
      <c r="N32" s="95"/>
      <c r="O32" s="95">
        <v>21.25</v>
      </c>
      <c r="P32" s="101"/>
      <c r="Q32" s="145">
        <f t="shared" si="18"/>
        <v>0</v>
      </c>
      <c r="R32" s="145">
        <f t="shared" si="19"/>
        <v>0</v>
      </c>
      <c r="S32" s="145">
        <f t="shared" si="20"/>
        <v>0</v>
      </c>
      <c r="T32" s="97" t="s">
        <v>570</v>
      </c>
      <c r="U32" s="97"/>
      <c r="V32" s="97"/>
      <c r="W32" s="97"/>
      <c r="X32" s="97"/>
      <c r="Y32" s="146">
        <f t="shared" si="21"/>
        <v>0</v>
      </c>
      <c r="Z32" s="147">
        <f t="shared" si="22"/>
        <v>0</v>
      </c>
      <c r="AA32" s="147">
        <f t="shared" si="23"/>
        <v>0</v>
      </c>
      <c r="AB32" s="146">
        <f t="shared" si="24"/>
        <v>21.25</v>
      </c>
      <c r="AC32" s="146">
        <f t="shared" si="25"/>
        <v>0</v>
      </c>
      <c r="AD32" s="148">
        <f t="shared" si="26"/>
        <v>0</v>
      </c>
      <c r="AE32" s="148">
        <f t="shared" si="27"/>
        <v>0</v>
      </c>
      <c r="AF32" s="148">
        <f t="shared" si="28"/>
        <v>0</v>
      </c>
      <c r="AG32" s="149">
        <f t="shared" si="29"/>
        <v>0</v>
      </c>
      <c r="AH32" s="149">
        <f t="shared" si="30"/>
        <v>0</v>
      </c>
      <c r="AI32" s="383">
        <f t="shared" si="31"/>
        <v>0</v>
      </c>
      <c r="AJ32" s="149">
        <f t="shared" si="32"/>
        <v>0</v>
      </c>
    </row>
    <row r="33" spans="1:36" s="64" customFormat="1" x14ac:dyDescent="0.25">
      <c r="A33" s="94" t="e">
        <f>IF(UC_DADOS!$B$2=0,"",UC_DADOS!$B$2)</f>
        <v>#N/A</v>
      </c>
      <c r="B33" s="100"/>
      <c r="C33" s="100"/>
      <c r="D33" s="96"/>
      <c r="E33" s="96"/>
      <c r="F33" s="150"/>
      <c r="G33" s="97"/>
      <c r="H33" s="95"/>
      <c r="I33" s="97"/>
      <c r="J33" s="145">
        <f t="shared" si="16"/>
        <v>0</v>
      </c>
      <c r="K33" s="298"/>
      <c r="L33" s="299">
        <f t="shared" si="17"/>
        <v>0</v>
      </c>
      <c r="M33" s="97"/>
      <c r="N33" s="95"/>
      <c r="O33" s="95">
        <v>21.25</v>
      </c>
      <c r="P33" s="101"/>
      <c r="Q33" s="145">
        <f t="shared" si="18"/>
        <v>0</v>
      </c>
      <c r="R33" s="145">
        <f t="shared" si="19"/>
        <v>0</v>
      </c>
      <c r="S33" s="145">
        <f t="shared" si="20"/>
        <v>0</v>
      </c>
      <c r="T33" s="97" t="s">
        <v>570</v>
      </c>
      <c r="U33" s="97"/>
      <c r="V33" s="97"/>
      <c r="W33" s="97"/>
      <c r="X33" s="97"/>
      <c r="Y33" s="146">
        <f t="shared" si="21"/>
        <v>0</v>
      </c>
      <c r="Z33" s="147">
        <f t="shared" si="22"/>
        <v>0</v>
      </c>
      <c r="AA33" s="147">
        <f t="shared" si="23"/>
        <v>0</v>
      </c>
      <c r="AB33" s="146">
        <f t="shared" si="24"/>
        <v>21.25</v>
      </c>
      <c r="AC33" s="146">
        <f t="shared" si="25"/>
        <v>0</v>
      </c>
      <c r="AD33" s="148">
        <f t="shared" si="26"/>
        <v>0</v>
      </c>
      <c r="AE33" s="148">
        <f t="shared" si="27"/>
        <v>0</v>
      </c>
      <c r="AF33" s="148">
        <f t="shared" si="28"/>
        <v>0</v>
      </c>
      <c r="AG33" s="149">
        <f t="shared" si="29"/>
        <v>0</v>
      </c>
      <c r="AH33" s="149">
        <f t="shared" si="30"/>
        <v>0</v>
      </c>
      <c r="AI33" s="383">
        <f t="shared" si="31"/>
        <v>0</v>
      </c>
      <c r="AJ33" s="149">
        <f t="shared" si="32"/>
        <v>0</v>
      </c>
    </row>
    <row r="34" spans="1:36" s="64" customFormat="1" x14ac:dyDescent="0.25">
      <c r="A34" s="94" t="e">
        <f>IF(UC_DADOS!$B$2=0,"",UC_DADOS!$B$2)</f>
        <v>#N/A</v>
      </c>
      <c r="B34" s="100"/>
      <c r="C34" s="100"/>
      <c r="D34" s="96"/>
      <c r="E34" s="96"/>
      <c r="F34" s="150"/>
      <c r="G34" s="97"/>
      <c r="H34" s="95"/>
      <c r="I34" s="97"/>
      <c r="J34" s="145">
        <f t="shared" si="16"/>
        <v>0</v>
      </c>
      <c r="K34" s="298"/>
      <c r="L34" s="299">
        <f t="shared" si="17"/>
        <v>0</v>
      </c>
      <c r="M34" s="97"/>
      <c r="N34" s="95"/>
      <c r="O34" s="95">
        <v>21.25</v>
      </c>
      <c r="P34" s="101"/>
      <c r="Q34" s="145">
        <f t="shared" si="18"/>
        <v>0</v>
      </c>
      <c r="R34" s="145">
        <f t="shared" si="19"/>
        <v>0</v>
      </c>
      <c r="S34" s="145">
        <f t="shared" si="20"/>
        <v>0</v>
      </c>
      <c r="T34" s="97" t="s">
        <v>570</v>
      </c>
      <c r="U34" s="97"/>
      <c r="V34" s="97"/>
      <c r="W34" s="97"/>
      <c r="X34" s="97"/>
      <c r="Y34" s="146">
        <f t="shared" si="21"/>
        <v>0</v>
      </c>
      <c r="Z34" s="147">
        <f t="shared" si="22"/>
        <v>0</v>
      </c>
      <c r="AA34" s="147">
        <f t="shared" si="23"/>
        <v>0</v>
      </c>
      <c r="AB34" s="146">
        <f t="shared" si="24"/>
        <v>21.25</v>
      </c>
      <c r="AC34" s="146">
        <f t="shared" si="25"/>
        <v>0</v>
      </c>
      <c r="AD34" s="148">
        <f t="shared" si="26"/>
        <v>0</v>
      </c>
      <c r="AE34" s="148">
        <f t="shared" si="27"/>
        <v>0</v>
      </c>
      <c r="AF34" s="148">
        <f t="shared" si="28"/>
        <v>0</v>
      </c>
      <c r="AG34" s="149">
        <f t="shared" si="29"/>
        <v>0</v>
      </c>
      <c r="AH34" s="149">
        <f t="shared" si="30"/>
        <v>0</v>
      </c>
      <c r="AI34" s="383">
        <f t="shared" si="31"/>
        <v>0</v>
      </c>
      <c r="AJ34" s="149">
        <f t="shared" si="32"/>
        <v>0</v>
      </c>
    </row>
    <row r="35" spans="1:36" s="64" customFormat="1" x14ac:dyDescent="0.25">
      <c r="A35" s="94" t="e">
        <f>IF(UC_DADOS!$B$2=0,"",UC_DADOS!$B$2)</f>
        <v>#N/A</v>
      </c>
      <c r="B35" s="100"/>
      <c r="C35" s="100"/>
      <c r="D35" s="96"/>
      <c r="E35" s="96"/>
      <c r="F35" s="150"/>
      <c r="G35" s="97"/>
      <c r="H35" s="95"/>
      <c r="I35" s="97"/>
      <c r="J35" s="145">
        <f t="shared" si="16"/>
        <v>0</v>
      </c>
      <c r="K35" s="298"/>
      <c r="L35" s="299">
        <f t="shared" si="17"/>
        <v>0</v>
      </c>
      <c r="M35" s="97"/>
      <c r="N35" s="95"/>
      <c r="O35" s="95">
        <v>21.25</v>
      </c>
      <c r="P35" s="101"/>
      <c r="Q35" s="145">
        <f t="shared" si="18"/>
        <v>0</v>
      </c>
      <c r="R35" s="145">
        <f t="shared" si="19"/>
        <v>0</v>
      </c>
      <c r="S35" s="145">
        <f t="shared" si="20"/>
        <v>0</v>
      </c>
      <c r="T35" s="97" t="s">
        <v>570</v>
      </c>
      <c r="U35" s="97"/>
      <c r="V35" s="97"/>
      <c r="W35" s="97"/>
      <c r="X35" s="97"/>
      <c r="Y35" s="146">
        <f t="shared" si="21"/>
        <v>0</v>
      </c>
      <c r="Z35" s="147">
        <f t="shared" si="22"/>
        <v>0</v>
      </c>
      <c r="AA35" s="147">
        <f t="shared" si="23"/>
        <v>0</v>
      </c>
      <c r="AB35" s="146">
        <f t="shared" si="24"/>
        <v>21.25</v>
      </c>
      <c r="AC35" s="146">
        <f t="shared" si="25"/>
        <v>0</v>
      </c>
      <c r="AD35" s="148">
        <f t="shared" si="26"/>
        <v>0</v>
      </c>
      <c r="AE35" s="148">
        <f t="shared" si="27"/>
        <v>0</v>
      </c>
      <c r="AF35" s="148">
        <f t="shared" si="28"/>
        <v>0</v>
      </c>
      <c r="AG35" s="149">
        <f t="shared" si="29"/>
        <v>0</v>
      </c>
      <c r="AH35" s="149">
        <f t="shared" si="30"/>
        <v>0</v>
      </c>
      <c r="AI35" s="383">
        <f t="shared" si="31"/>
        <v>0</v>
      </c>
      <c r="AJ35" s="149">
        <f t="shared" si="32"/>
        <v>0</v>
      </c>
    </row>
    <row r="36" spans="1:36" s="64" customFormat="1" x14ac:dyDescent="0.25">
      <c r="A36" s="94" t="e">
        <f>IF(UC_DADOS!$B$2=0,"",UC_DADOS!$B$2)</f>
        <v>#N/A</v>
      </c>
      <c r="B36" s="100"/>
      <c r="C36" s="100"/>
      <c r="D36" s="96"/>
      <c r="E36" s="96"/>
      <c r="F36" s="150"/>
      <c r="G36" s="97"/>
      <c r="H36" s="95"/>
      <c r="I36" s="97"/>
      <c r="J36" s="145">
        <f t="shared" si="16"/>
        <v>0</v>
      </c>
      <c r="K36" s="298"/>
      <c r="L36" s="299">
        <f t="shared" si="17"/>
        <v>0</v>
      </c>
      <c r="M36" s="97"/>
      <c r="N36" s="95"/>
      <c r="O36" s="95">
        <v>21.25</v>
      </c>
      <c r="P36" s="101"/>
      <c r="Q36" s="145">
        <f t="shared" si="18"/>
        <v>0</v>
      </c>
      <c r="R36" s="145">
        <f t="shared" si="19"/>
        <v>0</v>
      </c>
      <c r="S36" s="145">
        <f t="shared" si="20"/>
        <v>0</v>
      </c>
      <c r="T36" s="97" t="s">
        <v>570</v>
      </c>
      <c r="U36" s="97"/>
      <c r="V36" s="97"/>
      <c r="W36" s="97"/>
      <c r="X36" s="97"/>
      <c r="Y36" s="146">
        <f t="shared" si="21"/>
        <v>0</v>
      </c>
      <c r="Z36" s="147">
        <f t="shared" si="22"/>
        <v>0</v>
      </c>
      <c r="AA36" s="147">
        <f t="shared" si="23"/>
        <v>0</v>
      </c>
      <c r="AB36" s="146">
        <f t="shared" si="24"/>
        <v>21.25</v>
      </c>
      <c r="AC36" s="146">
        <f t="shared" si="25"/>
        <v>0</v>
      </c>
      <c r="AD36" s="148">
        <f t="shared" si="26"/>
        <v>0</v>
      </c>
      <c r="AE36" s="148">
        <f t="shared" si="27"/>
        <v>0</v>
      </c>
      <c r="AF36" s="148">
        <f t="shared" si="28"/>
        <v>0</v>
      </c>
      <c r="AG36" s="149">
        <f t="shared" si="29"/>
        <v>0</v>
      </c>
      <c r="AH36" s="149">
        <f t="shared" si="30"/>
        <v>0</v>
      </c>
      <c r="AI36" s="383">
        <f t="shared" si="31"/>
        <v>0</v>
      </c>
      <c r="AJ36" s="149">
        <f t="shared" si="32"/>
        <v>0</v>
      </c>
    </row>
    <row r="37" spans="1:36" s="64" customFormat="1" x14ac:dyDescent="0.25">
      <c r="A37" s="94" t="e">
        <f>IF(UC_DADOS!$B$2=0,"",UC_DADOS!$B$2)</f>
        <v>#N/A</v>
      </c>
      <c r="B37" s="100"/>
      <c r="C37" s="100"/>
      <c r="D37" s="96"/>
      <c r="E37" s="96"/>
      <c r="F37" s="150"/>
      <c r="G37" s="97"/>
      <c r="H37" s="95"/>
      <c r="I37" s="97"/>
      <c r="J37" s="145">
        <f t="shared" si="16"/>
        <v>0</v>
      </c>
      <c r="K37" s="298"/>
      <c r="L37" s="299">
        <f t="shared" si="17"/>
        <v>0</v>
      </c>
      <c r="M37" s="97"/>
      <c r="N37" s="95"/>
      <c r="O37" s="95">
        <v>21.25</v>
      </c>
      <c r="P37" s="101"/>
      <c r="Q37" s="145">
        <f t="shared" si="18"/>
        <v>0</v>
      </c>
      <c r="R37" s="145">
        <f t="shared" si="19"/>
        <v>0</v>
      </c>
      <c r="S37" s="145">
        <f t="shared" si="20"/>
        <v>0</v>
      </c>
      <c r="T37" s="97" t="s">
        <v>570</v>
      </c>
      <c r="U37" s="97"/>
      <c r="V37" s="97"/>
      <c r="W37" s="97"/>
      <c r="X37" s="97"/>
      <c r="Y37" s="146">
        <f t="shared" si="21"/>
        <v>0</v>
      </c>
      <c r="Z37" s="147">
        <f t="shared" si="22"/>
        <v>0</v>
      </c>
      <c r="AA37" s="147">
        <f t="shared" si="23"/>
        <v>0</v>
      </c>
      <c r="AB37" s="146">
        <f t="shared" si="24"/>
        <v>21.25</v>
      </c>
      <c r="AC37" s="146">
        <f t="shared" si="25"/>
        <v>0</v>
      </c>
      <c r="AD37" s="148">
        <f t="shared" si="26"/>
        <v>0</v>
      </c>
      <c r="AE37" s="148">
        <f t="shared" si="27"/>
        <v>0</v>
      </c>
      <c r="AF37" s="148">
        <f t="shared" si="28"/>
        <v>0</v>
      </c>
      <c r="AG37" s="149">
        <f t="shared" si="29"/>
        <v>0</v>
      </c>
      <c r="AH37" s="149">
        <f t="shared" si="30"/>
        <v>0</v>
      </c>
      <c r="AI37" s="383">
        <f t="shared" si="31"/>
        <v>0</v>
      </c>
      <c r="AJ37" s="149">
        <f t="shared" si="32"/>
        <v>0</v>
      </c>
    </row>
    <row r="38" spans="1:36" s="64" customFormat="1" x14ac:dyDescent="0.25">
      <c r="A38" s="94" t="e">
        <f>IF(UC_DADOS!$B$2=0,"",UC_DADOS!$B$2)</f>
        <v>#N/A</v>
      </c>
      <c r="B38" s="100"/>
      <c r="C38" s="100"/>
      <c r="D38" s="96"/>
      <c r="E38" s="96"/>
      <c r="F38" s="150"/>
      <c r="G38" s="97"/>
      <c r="H38" s="95"/>
      <c r="I38" s="97"/>
      <c r="J38" s="145">
        <f t="shared" si="16"/>
        <v>0</v>
      </c>
      <c r="K38" s="298"/>
      <c r="L38" s="299">
        <f t="shared" si="17"/>
        <v>0</v>
      </c>
      <c r="M38" s="97"/>
      <c r="N38" s="95"/>
      <c r="O38" s="95">
        <v>21.25</v>
      </c>
      <c r="P38" s="101"/>
      <c r="Q38" s="145">
        <f t="shared" si="18"/>
        <v>0</v>
      </c>
      <c r="R38" s="145">
        <f t="shared" si="19"/>
        <v>0</v>
      </c>
      <c r="S38" s="145">
        <f t="shared" si="20"/>
        <v>0</v>
      </c>
      <c r="T38" s="97" t="s">
        <v>570</v>
      </c>
      <c r="U38" s="97"/>
      <c r="V38" s="97"/>
      <c r="W38" s="97"/>
      <c r="X38" s="97"/>
      <c r="Y38" s="146">
        <f t="shared" si="21"/>
        <v>0</v>
      </c>
      <c r="Z38" s="147">
        <f t="shared" si="22"/>
        <v>0</v>
      </c>
      <c r="AA38" s="147">
        <f t="shared" si="23"/>
        <v>0</v>
      </c>
      <c r="AB38" s="146">
        <f t="shared" si="24"/>
        <v>21.25</v>
      </c>
      <c r="AC38" s="146">
        <f t="shared" si="25"/>
        <v>0</v>
      </c>
      <c r="AD38" s="148">
        <f t="shared" si="26"/>
        <v>0</v>
      </c>
      <c r="AE38" s="148">
        <f t="shared" si="27"/>
        <v>0</v>
      </c>
      <c r="AF38" s="148">
        <f t="shared" si="28"/>
        <v>0</v>
      </c>
      <c r="AG38" s="149">
        <f t="shared" si="29"/>
        <v>0</v>
      </c>
      <c r="AH38" s="149">
        <f t="shared" si="30"/>
        <v>0</v>
      </c>
      <c r="AI38" s="383">
        <f t="shared" si="31"/>
        <v>0</v>
      </c>
      <c r="AJ38" s="149">
        <f t="shared" si="32"/>
        <v>0</v>
      </c>
    </row>
    <row r="39" spans="1:36" s="64" customFormat="1" x14ac:dyDescent="0.25">
      <c r="A39" s="94" t="e">
        <f>IF(UC_DADOS!$B$2=0,"",UC_DADOS!$B$2)</f>
        <v>#N/A</v>
      </c>
      <c r="B39" s="100"/>
      <c r="C39" s="100"/>
      <c r="D39" s="96"/>
      <c r="E39" s="96"/>
      <c r="F39" s="150"/>
      <c r="G39" s="97"/>
      <c r="H39" s="95"/>
      <c r="I39" s="97"/>
      <c r="J39" s="145">
        <f t="shared" si="16"/>
        <v>0</v>
      </c>
      <c r="K39" s="298"/>
      <c r="L39" s="299">
        <f t="shared" si="17"/>
        <v>0</v>
      </c>
      <c r="M39" s="97"/>
      <c r="N39" s="95"/>
      <c r="O39" s="95">
        <v>21.25</v>
      </c>
      <c r="P39" s="101"/>
      <c r="Q39" s="145">
        <f t="shared" si="18"/>
        <v>0</v>
      </c>
      <c r="R39" s="145">
        <f t="shared" si="19"/>
        <v>0</v>
      </c>
      <c r="S39" s="145">
        <f t="shared" si="20"/>
        <v>0</v>
      </c>
      <c r="T39" s="97" t="s">
        <v>570</v>
      </c>
      <c r="U39" s="97"/>
      <c r="V39" s="97"/>
      <c r="W39" s="97"/>
      <c r="X39" s="97"/>
      <c r="Y39" s="146">
        <f t="shared" si="21"/>
        <v>0</v>
      </c>
      <c r="Z39" s="147">
        <f t="shared" si="22"/>
        <v>0</v>
      </c>
      <c r="AA39" s="147">
        <f t="shared" si="23"/>
        <v>0</v>
      </c>
      <c r="AB39" s="146">
        <f t="shared" si="24"/>
        <v>21.25</v>
      </c>
      <c r="AC39" s="146">
        <f t="shared" si="25"/>
        <v>0</v>
      </c>
      <c r="AD39" s="148">
        <f t="shared" si="26"/>
        <v>0</v>
      </c>
      <c r="AE39" s="148">
        <f t="shared" si="27"/>
        <v>0</v>
      </c>
      <c r="AF39" s="148">
        <f t="shared" si="28"/>
        <v>0</v>
      </c>
      <c r="AG39" s="149">
        <f t="shared" si="29"/>
        <v>0</v>
      </c>
      <c r="AH39" s="149">
        <f t="shared" si="30"/>
        <v>0</v>
      </c>
      <c r="AI39" s="383">
        <f t="shared" si="31"/>
        <v>0</v>
      </c>
      <c r="AJ39" s="149">
        <f t="shared" si="32"/>
        <v>0</v>
      </c>
    </row>
    <row r="40" spans="1:36" s="64" customFormat="1" x14ac:dyDescent="0.25">
      <c r="A40" s="94" t="e">
        <f>IF(UC_DADOS!$B$2=0,"",UC_DADOS!$B$2)</f>
        <v>#N/A</v>
      </c>
      <c r="B40" s="100"/>
      <c r="C40" s="100"/>
      <c r="D40" s="96"/>
      <c r="E40" s="96"/>
      <c r="F40" s="150"/>
      <c r="G40" s="97"/>
      <c r="H40" s="95"/>
      <c r="I40" s="97"/>
      <c r="J40" s="145">
        <f t="shared" si="16"/>
        <v>0</v>
      </c>
      <c r="K40" s="298"/>
      <c r="L40" s="299">
        <f t="shared" si="17"/>
        <v>0</v>
      </c>
      <c r="M40" s="97"/>
      <c r="N40" s="95"/>
      <c r="O40" s="95">
        <v>21.25</v>
      </c>
      <c r="P40" s="101"/>
      <c r="Q40" s="145">
        <f t="shared" si="18"/>
        <v>0</v>
      </c>
      <c r="R40" s="145">
        <f t="shared" si="19"/>
        <v>0</v>
      </c>
      <c r="S40" s="145">
        <f t="shared" si="20"/>
        <v>0</v>
      </c>
      <c r="T40" s="97" t="s">
        <v>570</v>
      </c>
      <c r="U40" s="97"/>
      <c r="V40" s="97"/>
      <c r="W40" s="97"/>
      <c r="X40" s="97"/>
      <c r="Y40" s="146">
        <f t="shared" si="21"/>
        <v>0</v>
      </c>
      <c r="Z40" s="147">
        <f t="shared" si="22"/>
        <v>0</v>
      </c>
      <c r="AA40" s="147">
        <f t="shared" si="23"/>
        <v>0</v>
      </c>
      <c r="AB40" s="146">
        <f t="shared" si="24"/>
        <v>21.25</v>
      </c>
      <c r="AC40" s="146">
        <f t="shared" si="25"/>
        <v>0</v>
      </c>
      <c r="AD40" s="148">
        <f t="shared" si="26"/>
        <v>0</v>
      </c>
      <c r="AE40" s="148">
        <f t="shared" si="27"/>
        <v>0</v>
      </c>
      <c r="AF40" s="148">
        <f t="shared" si="28"/>
        <v>0</v>
      </c>
      <c r="AG40" s="149">
        <f t="shared" si="29"/>
        <v>0</v>
      </c>
      <c r="AH40" s="149">
        <f t="shared" si="30"/>
        <v>0</v>
      </c>
      <c r="AI40" s="383">
        <f t="shared" si="31"/>
        <v>0</v>
      </c>
      <c r="AJ40" s="149">
        <f t="shared" si="32"/>
        <v>0</v>
      </c>
    </row>
    <row r="41" spans="1:36" s="64" customFormat="1" x14ac:dyDescent="0.25">
      <c r="A41" s="94" t="e">
        <f>IF(UC_DADOS!$B$2=0,"",UC_DADOS!$B$2)</f>
        <v>#N/A</v>
      </c>
      <c r="B41" s="100"/>
      <c r="C41" s="100"/>
      <c r="D41" s="96"/>
      <c r="E41" s="96"/>
      <c r="F41" s="150"/>
      <c r="G41" s="97"/>
      <c r="H41" s="95"/>
      <c r="I41" s="97"/>
      <c r="J41" s="145">
        <f t="shared" si="16"/>
        <v>0</v>
      </c>
      <c r="K41" s="298"/>
      <c r="L41" s="299">
        <f t="shared" si="17"/>
        <v>0</v>
      </c>
      <c r="M41" s="97"/>
      <c r="N41" s="95"/>
      <c r="O41" s="95">
        <v>21.25</v>
      </c>
      <c r="P41" s="101"/>
      <c r="Q41" s="145">
        <f t="shared" si="18"/>
        <v>0</v>
      </c>
      <c r="R41" s="145">
        <f t="shared" si="19"/>
        <v>0</v>
      </c>
      <c r="S41" s="145">
        <f t="shared" si="20"/>
        <v>0</v>
      </c>
      <c r="T41" s="97" t="s">
        <v>570</v>
      </c>
      <c r="U41" s="97"/>
      <c r="V41" s="97"/>
      <c r="W41" s="97"/>
      <c r="X41" s="97"/>
      <c r="Y41" s="146">
        <f t="shared" si="21"/>
        <v>0</v>
      </c>
      <c r="Z41" s="147">
        <f t="shared" si="22"/>
        <v>0</v>
      </c>
      <c r="AA41" s="147">
        <f t="shared" si="23"/>
        <v>0</v>
      </c>
      <c r="AB41" s="146">
        <f t="shared" si="24"/>
        <v>21.25</v>
      </c>
      <c r="AC41" s="146">
        <f t="shared" si="25"/>
        <v>0</v>
      </c>
      <c r="AD41" s="148">
        <f t="shared" si="26"/>
        <v>0</v>
      </c>
      <c r="AE41" s="148">
        <f t="shared" si="27"/>
        <v>0</v>
      </c>
      <c r="AF41" s="148">
        <f t="shared" si="28"/>
        <v>0</v>
      </c>
      <c r="AG41" s="149">
        <f t="shared" si="29"/>
        <v>0</v>
      </c>
      <c r="AH41" s="149">
        <f t="shared" si="30"/>
        <v>0</v>
      </c>
      <c r="AI41" s="383">
        <f t="shared" si="31"/>
        <v>0</v>
      </c>
      <c r="AJ41" s="149">
        <f t="shared" si="32"/>
        <v>0</v>
      </c>
    </row>
    <row r="42" spans="1:36" s="64" customFormat="1" x14ac:dyDescent="0.25">
      <c r="A42" s="94" t="e">
        <f>IF(UC_DADOS!$B$2=0,"",UC_DADOS!$B$2)</f>
        <v>#N/A</v>
      </c>
      <c r="B42" s="100"/>
      <c r="C42" s="100"/>
      <c r="D42" s="96"/>
      <c r="E42" s="96"/>
      <c r="F42" s="150"/>
      <c r="G42" s="97"/>
      <c r="H42" s="95"/>
      <c r="I42" s="97"/>
      <c r="J42" s="145">
        <f t="shared" si="16"/>
        <v>0</v>
      </c>
      <c r="K42" s="298"/>
      <c r="L42" s="299">
        <f t="shared" si="17"/>
        <v>0</v>
      </c>
      <c r="M42" s="97"/>
      <c r="N42" s="95"/>
      <c r="O42" s="95">
        <v>21.25</v>
      </c>
      <c r="P42" s="101"/>
      <c r="Q42" s="145">
        <f t="shared" si="18"/>
        <v>0</v>
      </c>
      <c r="R42" s="145">
        <f t="shared" si="19"/>
        <v>0</v>
      </c>
      <c r="S42" s="145">
        <f t="shared" si="20"/>
        <v>0</v>
      </c>
      <c r="T42" s="97" t="s">
        <v>570</v>
      </c>
      <c r="U42" s="97"/>
      <c r="V42" s="97"/>
      <c r="W42" s="97"/>
      <c r="X42" s="97"/>
      <c r="Y42" s="146">
        <f t="shared" si="21"/>
        <v>0</v>
      </c>
      <c r="Z42" s="147">
        <f t="shared" si="22"/>
        <v>0</v>
      </c>
      <c r="AA42" s="147">
        <f t="shared" si="23"/>
        <v>0</v>
      </c>
      <c r="AB42" s="146">
        <f t="shared" si="24"/>
        <v>21.25</v>
      </c>
      <c r="AC42" s="146">
        <f t="shared" si="25"/>
        <v>0</v>
      </c>
      <c r="AD42" s="148">
        <f t="shared" si="26"/>
        <v>0</v>
      </c>
      <c r="AE42" s="148">
        <f t="shared" si="27"/>
        <v>0</v>
      </c>
      <c r="AF42" s="148">
        <f t="shared" si="28"/>
        <v>0</v>
      </c>
      <c r="AG42" s="149">
        <f t="shared" si="29"/>
        <v>0</v>
      </c>
      <c r="AH42" s="149">
        <f t="shared" si="30"/>
        <v>0</v>
      </c>
      <c r="AI42" s="383">
        <f t="shared" si="31"/>
        <v>0</v>
      </c>
      <c r="AJ42" s="149">
        <f t="shared" si="32"/>
        <v>0</v>
      </c>
    </row>
    <row r="43" spans="1:36" s="64" customFormat="1" x14ac:dyDescent="0.25">
      <c r="A43" s="94" t="e">
        <f>IF(UC_DADOS!$B$2=0,"",UC_DADOS!$B$2)</f>
        <v>#N/A</v>
      </c>
      <c r="B43" s="100"/>
      <c r="C43" s="100"/>
      <c r="D43" s="96"/>
      <c r="E43" s="96"/>
      <c r="F43" s="150"/>
      <c r="G43" s="97"/>
      <c r="H43" s="95"/>
      <c r="I43" s="97"/>
      <c r="J43" s="145">
        <f t="shared" si="16"/>
        <v>0</v>
      </c>
      <c r="K43" s="298"/>
      <c r="L43" s="299">
        <f t="shared" si="17"/>
        <v>0</v>
      </c>
      <c r="M43" s="97"/>
      <c r="N43" s="95"/>
      <c r="O43" s="95">
        <v>21.25</v>
      </c>
      <c r="P43" s="101"/>
      <c r="Q43" s="145">
        <f t="shared" si="18"/>
        <v>0</v>
      </c>
      <c r="R43" s="145">
        <f t="shared" si="19"/>
        <v>0</v>
      </c>
      <c r="S43" s="145">
        <f t="shared" si="20"/>
        <v>0</v>
      </c>
      <c r="T43" s="97" t="s">
        <v>570</v>
      </c>
      <c r="U43" s="97"/>
      <c r="V43" s="97"/>
      <c r="W43" s="97"/>
      <c r="X43" s="97"/>
      <c r="Y43" s="146">
        <f t="shared" si="21"/>
        <v>0</v>
      </c>
      <c r="Z43" s="147">
        <f t="shared" si="22"/>
        <v>0</v>
      </c>
      <c r="AA43" s="147">
        <f t="shared" si="23"/>
        <v>0</v>
      </c>
      <c r="AB43" s="146">
        <f t="shared" si="24"/>
        <v>21.25</v>
      </c>
      <c r="AC43" s="146">
        <f t="shared" si="25"/>
        <v>0</v>
      </c>
      <c r="AD43" s="148">
        <f t="shared" si="26"/>
        <v>0</v>
      </c>
      <c r="AE43" s="148">
        <f t="shared" si="27"/>
        <v>0</v>
      </c>
      <c r="AF43" s="148">
        <f t="shared" si="28"/>
        <v>0</v>
      </c>
      <c r="AG43" s="149">
        <f t="shared" si="29"/>
        <v>0</v>
      </c>
      <c r="AH43" s="149">
        <f t="shared" si="30"/>
        <v>0</v>
      </c>
      <c r="AI43" s="383">
        <f t="shared" si="31"/>
        <v>0</v>
      </c>
      <c r="AJ43" s="149">
        <f t="shared" si="32"/>
        <v>0</v>
      </c>
    </row>
    <row r="44" spans="1:36" s="64" customFormat="1" x14ac:dyDescent="0.25">
      <c r="A44" s="94" t="e">
        <f>IF(UC_DADOS!$B$2=0,"",UC_DADOS!$B$2)</f>
        <v>#N/A</v>
      </c>
      <c r="B44" s="100"/>
      <c r="C44" s="100"/>
      <c r="D44" s="96"/>
      <c r="E44" s="96"/>
      <c r="F44" s="150"/>
      <c r="G44" s="97"/>
      <c r="H44" s="95"/>
      <c r="I44" s="97"/>
      <c r="J44" s="145">
        <f t="shared" si="16"/>
        <v>0</v>
      </c>
      <c r="K44" s="298"/>
      <c r="L44" s="299">
        <f t="shared" si="17"/>
        <v>0</v>
      </c>
      <c r="M44" s="97"/>
      <c r="N44" s="95"/>
      <c r="O44" s="95">
        <v>21.25</v>
      </c>
      <c r="P44" s="101"/>
      <c r="Q44" s="145">
        <f t="shared" si="18"/>
        <v>0</v>
      </c>
      <c r="R44" s="145">
        <f t="shared" si="19"/>
        <v>0</v>
      </c>
      <c r="S44" s="145">
        <f t="shared" si="20"/>
        <v>0</v>
      </c>
      <c r="T44" s="97" t="s">
        <v>570</v>
      </c>
      <c r="U44" s="97"/>
      <c r="V44" s="97"/>
      <c r="W44" s="97"/>
      <c r="X44" s="97"/>
      <c r="Y44" s="146">
        <f t="shared" si="21"/>
        <v>0</v>
      </c>
      <c r="Z44" s="147">
        <f t="shared" si="22"/>
        <v>0</v>
      </c>
      <c r="AA44" s="147">
        <f t="shared" si="23"/>
        <v>0</v>
      </c>
      <c r="AB44" s="146">
        <f t="shared" si="24"/>
        <v>21.25</v>
      </c>
      <c r="AC44" s="146">
        <f t="shared" si="25"/>
        <v>0</v>
      </c>
      <c r="AD44" s="148">
        <f t="shared" si="26"/>
        <v>0</v>
      </c>
      <c r="AE44" s="148">
        <f t="shared" si="27"/>
        <v>0</v>
      </c>
      <c r="AF44" s="148">
        <f t="shared" si="28"/>
        <v>0</v>
      </c>
      <c r="AG44" s="149">
        <f t="shared" si="29"/>
        <v>0</v>
      </c>
      <c r="AH44" s="149">
        <f t="shared" si="30"/>
        <v>0</v>
      </c>
      <c r="AI44" s="383">
        <f t="shared" si="31"/>
        <v>0</v>
      </c>
      <c r="AJ44" s="149">
        <f t="shared" si="32"/>
        <v>0</v>
      </c>
    </row>
    <row r="45" spans="1:36" s="64" customFormat="1" x14ac:dyDescent="0.25">
      <c r="A45" s="94" t="e">
        <f>IF(UC_DADOS!$B$2=0,"",UC_DADOS!$B$2)</f>
        <v>#N/A</v>
      </c>
      <c r="B45" s="100"/>
      <c r="C45" s="100"/>
      <c r="D45" s="96"/>
      <c r="E45" s="96"/>
      <c r="F45" s="150"/>
      <c r="G45" s="97"/>
      <c r="H45" s="95"/>
      <c r="I45" s="97"/>
      <c r="J45" s="145">
        <f t="shared" si="16"/>
        <v>0</v>
      </c>
      <c r="K45" s="298"/>
      <c r="L45" s="299">
        <f t="shared" si="17"/>
        <v>0</v>
      </c>
      <c r="M45" s="97"/>
      <c r="N45" s="95"/>
      <c r="O45" s="95">
        <v>21.25</v>
      </c>
      <c r="P45" s="101"/>
      <c r="Q45" s="145">
        <f t="shared" si="18"/>
        <v>0</v>
      </c>
      <c r="R45" s="145">
        <f t="shared" si="19"/>
        <v>0</v>
      </c>
      <c r="S45" s="145">
        <f t="shared" si="20"/>
        <v>0</v>
      </c>
      <c r="T45" s="97" t="s">
        <v>570</v>
      </c>
      <c r="U45" s="97"/>
      <c r="V45" s="97"/>
      <c r="W45" s="97"/>
      <c r="X45" s="97"/>
      <c r="Y45" s="146">
        <f t="shared" si="21"/>
        <v>0</v>
      </c>
      <c r="Z45" s="147">
        <f t="shared" si="22"/>
        <v>0</v>
      </c>
      <c r="AA45" s="147">
        <f t="shared" si="23"/>
        <v>0</v>
      </c>
      <c r="AB45" s="146">
        <f t="shared" si="24"/>
        <v>21.25</v>
      </c>
      <c r="AC45" s="146">
        <f t="shared" si="25"/>
        <v>0</v>
      </c>
      <c r="AD45" s="148">
        <f t="shared" si="26"/>
        <v>0</v>
      </c>
      <c r="AE45" s="148">
        <f t="shared" si="27"/>
        <v>0</v>
      </c>
      <c r="AF45" s="148">
        <f t="shared" si="28"/>
        <v>0</v>
      </c>
      <c r="AG45" s="149">
        <f t="shared" si="29"/>
        <v>0</v>
      </c>
      <c r="AH45" s="149">
        <f t="shared" si="30"/>
        <v>0</v>
      </c>
      <c r="AI45" s="383">
        <f t="shared" si="31"/>
        <v>0</v>
      </c>
      <c r="AJ45" s="149">
        <f t="shared" si="32"/>
        <v>0</v>
      </c>
    </row>
    <row r="46" spans="1:36" s="64" customFormat="1" x14ac:dyDescent="0.25">
      <c r="A46" s="94" t="e">
        <f>IF(UC_DADOS!$B$2=0,"",UC_DADOS!$B$2)</f>
        <v>#N/A</v>
      </c>
      <c r="B46" s="100"/>
      <c r="C46" s="100"/>
      <c r="D46" s="96"/>
      <c r="E46" s="96"/>
      <c r="F46" s="150"/>
      <c r="G46" s="97"/>
      <c r="H46" s="95"/>
      <c r="I46" s="97"/>
      <c r="J46" s="145">
        <f t="shared" si="16"/>
        <v>0</v>
      </c>
      <c r="K46" s="298"/>
      <c r="L46" s="299">
        <f t="shared" si="17"/>
        <v>0</v>
      </c>
      <c r="M46" s="97"/>
      <c r="N46" s="95"/>
      <c r="O46" s="95">
        <v>21.25</v>
      </c>
      <c r="P46" s="101"/>
      <c r="Q46" s="145">
        <f t="shared" si="18"/>
        <v>0</v>
      </c>
      <c r="R46" s="145">
        <f t="shared" si="19"/>
        <v>0</v>
      </c>
      <c r="S46" s="145">
        <f t="shared" si="20"/>
        <v>0</v>
      </c>
      <c r="T46" s="97" t="s">
        <v>570</v>
      </c>
      <c r="U46" s="97"/>
      <c r="V46" s="97"/>
      <c r="W46" s="97"/>
      <c r="X46" s="97"/>
      <c r="Y46" s="146">
        <f t="shared" si="21"/>
        <v>0</v>
      </c>
      <c r="Z46" s="147">
        <f t="shared" si="22"/>
        <v>0</v>
      </c>
      <c r="AA46" s="147">
        <f t="shared" si="23"/>
        <v>0</v>
      </c>
      <c r="AB46" s="146">
        <f t="shared" si="24"/>
        <v>21.25</v>
      </c>
      <c r="AC46" s="146">
        <f t="shared" si="25"/>
        <v>0</v>
      </c>
      <c r="AD46" s="148">
        <f t="shared" si="26"/>
        <v>0</v>
      </c>
      <c r="AE46" s="148">
        <f t="shared" si="27"/>
        <v>0</v>
      </c>
      <c r="AF46" s="148">
        <f t="shared" si="28"/>
        <v>0</v>
      </c>
      <c r="AG46" s="149">
        <f t="shared" si="29"/>
        <v>0</v>
      </c>
      <c r="AH46" s="149">
        <f t="shared" si="30"/>
        <v>0</v>
      </c>
      <c r="AI46" s="383">
        <f t="shared" si="31"/>
        <v>0</v>
      </c>
      <c r="AJ46" s="149">
        <f t="shared" si="32"/>
        <v>0</v>
      </c>
    </row>
    <row r="47" spans="1:36" s="64" customFormat="1" x14ac:dyDescent="0.25">
      <c r="A47" s="94" t="e">
        <f>IF(UC_DADOS!$B$2=0,"",UC_DADOS!$B$2)</f>
        <v>#N/A</v>
      </c>
      <c r="B47" s="100"/>
      <c r="C47" s="100"/>
      <c r="D47" s="96"/>
      <c r="E47" s="96"/>
      <c r="F47" s="150"/>
      <c r="G47" s="97"/>
      <c r="H47" s="95"/>
      <c r="I47" s="97"/>
      <c r="J47" s="145">
        <f t="shared" si="16"/>
        <v>0</v>
      </c>
      <c r="K47" s="298"/>
      <c r="L47" s="299">
        <f t="shared" si="17"/>
        <v>0</v>
      </c>
      <c r="M47" s="97"/>
      <c r="N47" s="95"/>
      <c r="O47" s="95">
        <v>21.25</v>
      </c>
      <c r="P47" s="101"/>
      <c r="Q47" s="145">
        <f t="shared" si="18"/>
        <v>0</v>
      </c>
      <c r="R47" s="145">
        <f t="shared" si="19"/>
        <v>0</v>
      </c>
      <c r="S47" s="145">
        <f t="shared" si="20"/>
        <v>0</v>
      </c>
      <c r="T47" s="97" t="s">
        <v>570</v>
      </c>
      <c r="U47" s="97"/>
      <c r="V47" s="97"/>
      <c r="W47" s="97"/>
      <c r="X47" s="97"/>
      <c r="Y47" s="146">
        <f t="shared" si="21"/>
        <v>0</v>
      </c>
      <c r="Z47" s="147">
        <f t="shared" si="22"/>
        <v>0</v>
      </c>
      <c r="AA47" s="147">
        <f t="shared" si="23"/>
        <v>0</v>
      </c>
      <c r="AB47" s="146">
        <f t="shared" si="24"/>
        <v>21.25</v>
      </c>
      <c r="AC47" s="146">
        <f t="shared" si="25"/>
        <v>0</v>
      </c>
      <c r="AD47" s="148">
        <f t="shared" si="26"/>
        <v>0</v>
      </c>
      <c r="AE47" s="148">
        <f t="shared" si="27"/>
        <v>0</v>
      </c>
      <c r="AF47" s="148">
        <f t="shared" si="28"/>
        <v>0</v>
      </c>
      <c r="AG47" s="149">
        <f t="shared" si="29"/>
        <v>0</v>
      </c>
      <c r="AH47" s="149">
        <f t="shared" si="30"/>
        <v>0</v>
      </c>
      <c r="AI47" s="383">
        <f t="shared" si="31"/>
        <v>0</v>
      </c>
      <c r="AJ47" s="149">
        <f t="shared" si="32"/>
        <v>0</v>
      </c>
    </row>
    <row r="48" spans="1:36" s="64" customFormat="1" x14ac:dyDescent="0.25">
      <c r="A48" s="94" t="e">
        <f>IF(UC_DADOS!$B$2=0,"",UC_DADOS!$B$2)</f>
        <v>#N/A</v>
      </c>
      <c r="B48" s="100"/>
      <c r="C48" s="100"/>
      <c r="D48" s="96"/>
      <c r="E48" s="96"/>
      <c r="F48" s="150"/>
      <c r="G48" s="97"/>
      <c r="H48" s="95"/>
      <c r="I48" s="97"/>
      <c r="J48" s="145">
        <f t="shared" si="16"/>
        <v>0</v>
      </c>
      <c r="K48" s="298"/>
      <c r="L48" s="299">
        <f t="shared" si="17"/>
        <v>0</v>
      </c>
      <c r="M48" s="97"/>
      <c r="N48" s="95"/>
      <c r="O48" s="95">
        <v>21.25</v>
      </c>
      <c r="P48" s="101"/>
      <c r="Q48" s="145">
        <f t="shared" si="18"/>
        <v>0</v>
      </c>
      <c r="R48" s="145">
        <f t="shared" si="19"/>
        <v>0</v>
      </c>
      <c r="S48" s="145">
        <f t="shared" si="20"/>
        <v>0</v>
      </c>
      <c r="T48" s="97" t="s">
        <v>570</v>
      </c>
      <c r="U48" s="97"/>
      <c r="V48" s="97"/>
      <c r="W48" s="97"/>
      <c r="X48" s="97"/>
      <c r="Y48" s="146">
        <f t="shared" si="21"/>
        <v>0</v>
      </c>
      <c r="Z48" s="147">
        <f t="shared" si="22"/>
        <v>0</v>
      </c>
      <c r="AA48" s="147">
        <f t="shared" si="23"/>
        <v>0</v>
      </c>
      <c r="AB48" s="146">
        <f t="shared" si="24"/>
        <v>21.25</v>
      </c>
      <c r="AC48" s="146">
        <f t="shared" si="25"/>
        <v>0</v>
      </c>
      <c r="AD48" s="148">
        <f t="shared" si="26"/>
        <v>0</v>
      </c>
      <c r="AE48" s="148">
        <f t="shared" si="27"/>
        <v>0</v>
      </c>
      <c r="AF48" s="148">
        <f t="shared" si="28"/>
        <v>0</v>
      </c>
      <c r="AG48" s="149">
        <f t="shared" si="29"/>
        <v>0</v>
      </c>
      <c r="AH48" s="149">
        <f t="shared" si="30"/>
        <v>0</v>
      </c>
      <c r="AI48" s="383">
        <f t="shared" si="31"/>
        <v>0</v>
      </c>
      <c r="AJ48" s="149">
        <f t="shared" si="32"/>
        <v>0</v>
      </c>
    </row>
    <row r="49" spans="1:36" s="64" customFormat="1" x14ac:dyDescent="0.25">
      <c r="A49" s="94" t="e">
        <f>IF(UC_DADOS!$B$2=0,"",UC_DADOS!$B$2)</f>
        <v>#N/A</v>
      </c>
      <c r="B49" s="100"/>
      <c r="C49" s="100"/>
      <c r="D49" s="96"/>
      <c r="E49" s="96"/>
      <c r="F49" s="150"/>
      <c r="G49" s="97"/>
      <c r="H49" s="95"/>
      <c r="I49" s="97"/>
      <c r="J49" s="145">
        <f t="shared" si="16"/>
        <v>0</v>
      </c>
      <c r="K49" s="298"/>
      <c r="L49" s="299">
        <f t="shared" si="17"/>
        <v>0</v>
      </c>
      <c r="M49" s="97"/>
      <c r="N49" s="95"/>
      <c r="O49" s="95">
        <v>21.25</v>
      </c>
      <c r="P49" s="101"/>
      <c r="Q49" s="145">
        <f t="shared" si="18"/>
        <v>0</v>
      </c>
      <c r="R49" s="145">
        <f t="shared" si="19"/>
        <v>0</v>
      </c>
      <c r="S49" s="145">
        <f t="shared" si="20"/>
        <v>0</v>
      </c>
      <c r="T49" s="97" t="s">
        <v>570</v>
      </c>
      <c r="U49" s="97"/>
      <c r="V49" s="97"/>
      <c r="W49" s="97"/>
      <c r="X49" s="97"/>
      <c r="Y49" s="146">
        <f t="shared" si="21"/>
        <v>0</v>
      </c>
      <c r="Z49" s="147">
        <f t="shared" si="22"/>
        <v>0</v>
      </c>
      <c r="AA49" s="147">
        <f t="shared" si="23"/>
        <v>0</v>
      </c>
      <c r="AB49" s="146">
        <f t="shared" si="24"/>
        <v>21.25</v>
      </c>
      <c r="AC49" s="146">
        <f t="shared" si="25"/>
        <v>0</v>
      </c>
      <c r="AD49" s="148">
        <f t="shared" si="26"/>
        <v>0</v>
      </c>
      <c r="AE49" s="148">
        <f t="shared" si="27"/>
        <v>0</v>
      </c>
      <c r="AF49" s="148">
        <f t="shared" si="28"/>
        <v>0</v>
      </c>
      <c r="AG49" s="149">
        <f t="shared" si="29"/>
        <v>0</v>
      </c>
      <c r="AH49" s="149">
        <f t="shared" si="30"/>
        <v>0</v>
      </c>
      <c r="AI49" s="383">
        <f t="shared" si="31"/>
        <v>0</v>
      </c>
      <c r="AJ49" s="149">
        <f t="shared" si="32"/>
        <v>0</v>
      </c>
    </row>
    <row r="50" spans="1:36" s="64" customFormat="1" x14ac:dyDescent="0.25">
      <c r="A50" s="94" t="e">
        <f>IF(UC_DADOS!$B$2=0,"",UC_DADOS!$B$2)</f>
        <v>#N/A</v>
      </c>
      <c r="B50" s="100"/>
      <c r="C50" s="100"/>
      <c r="D50" s="96"/>
      <c r="E50" s="96"/>
      <c r="F50" s="150"/>
      <c r="G50" s="97"/>
      <c r="H50" s="95"/>
      <c r="I50" s="97"/>
      <c r="J50" s="145">
        <f t="shared" si="16"/>
        <v>0</v>
      </c>
      <c r="K50" s="298"/>
      <c r="L50" s="299">
        <f t="shared" si="17"/>
        <v>0</v>
      </c>
      <c r="M50" s="97"/>
      <c r="N50" s="95"/>
      <c r="O50" s="95">
        <v>21.25</v>
      </c>
      <c r="P50" s="101"/>
      <c r="Q50" s="145">
        <f t="shared" si="18"/>
        <v>0</v>
      </c>
      <c r="R50" s="145">
        <f t="shared" si="19"/>
        <v>0</v>
      </c>
      <c r="S50" s="145">
        <f t="shared" si="20"/>
        <v>0</v>
      </c>
      <c r="T50" s="97" t="s">
        <v>570</v>
      </c>
      <c r="U50" s="97"/>
      <c r="V50" s="97"/>
      <c r="W50" s="97"/>
      <c r="X50" s="97"/>
      <c r="Y50" s="146">
        <f t="shared" si="21"/>
        <v>0</v>
      </c>
      <c r="Z50" s="147">
        <f t="shared" si="22"/>
        <v>0</v>
      </c>
      <c r="AA50" s="147">
        <f t="shared" si="23"/>
        <v>0</v>
      </c>
      <c r="AB50" s="146">
        <f t="shared" si="24"/>
        <v>21.25</v>
      </c>
      <c r="AC50" s="146">
        <f t="shared" si="25"/>
        <v>0</v>
      </c>
      <c r="AD50" s="148">
        <f t="shared" si="26"/>
        <v>0</v>
      </c>
      <c r="AE50" s="148">
        <f t="shared" si="27"/>
        <v>0</v>
      </c>
      <c r="AF50" s="148">
        <f t="shared" si="28"/>
        <v>0</v>
      </c>
      <c r="AG50" s="149">
        <f t="shared" si="29"/>
        <v>0</v>
      </c>
      <c r="AH50" s="149">
        <f t="shared" si="30"/>
        <v>0</v>
      </c>
      <c r="AI50" s="383">
        <f t="shared" si="31"/>
        <v>0</v>
      </c>
      <c r="AJ50" s="149">
        <f t="shared" si="32"/>
        <v>0</v>
      </c>
    </row>
    <row r="51" spans="1:36" s="64" customFormat="1" x14ac:dyDescent="0.25">
      <c r="A51" s="94" t="e">
        <f>IF(UC_DADOS!$B$2=0,"",UC_DADOS!$B$2)</f>
        <v>#N/A</v>
      </c>
      <c r="B51" s="100"/>
      <c r="C51" s="100"/>
      <c r="D51" s="96"/>
      <c r="E51" s="96"/>
      <c r="F51" s="150"/>
      <c r="G51" s="97"/>
      <c r="H51" s="95"/>
      <c r="I51" s="97"/>
      <c r="J51" s="145">
        <f t="shared" si="16"/>
        <v>0</v>
      </c>
      <c r="K51" s="298"/>
      <c r="L51" s="299">
        <f t="shared" si="17"/>
        <v>0</v>
      </c>
      <c r="M51" s="97"/>
      <c r="N51" s="95"/>
      <c r="O51" s="95">
        <v>21.25</v>
      </c>
      <c r="P51" s="101"/>
      <c r="Q51" s="145">
        <f t="shared" si="18"/>
        <v>0</v>
      </c>
      <c r="R51" s="145">
        <f t="shared" si="19"/>
        <v>0</v>
      </c>
      <c r="S51" s="145">
        <f t="shared" si="20"/>
        <v>0</v>
      </c>
      <c r="T51" s="97" t="s">
        <v>570</v>
      </c>
      <c r="U51" s="97"/>
      <c r="V51" s="97"/>
      <c r="W51" s="97"/>
      <c r="X51" s="97"/>
      <c r="Y51" s="146">
        <f t="shared" si="21"/>
        <v>0</v>
      </c>
      <c r="Z51" s="147">
        <f t="shared" si="22"/>
        <v>0</v>
      </c>
      <c r="AA51" s="147">
        <f t="shared" si="23"/>
        <v>0</v>
      </c>
      <c r="AB51" s="146">
        <f t="shared" si="24"/>
        <v>21.25</v>
      </c>
      <c r="AC51" s="146">
        <f t="shared" si="25"/>
        <v>0</v>
      </c>
      <c r="AD51" s="148">
        <f t="shared" si="26"/>
        <v>0</v>
      </c>
      <c r="AE51" s="148">
        <f t="shared" si="27"/>
        <v>0</v>
      </c>
      <c r="AF51" s="148">
        <f t="shared" si="28"/>
        <v>0</v>
      </c>
      <c r="AG51" s="149">
        <f t="shared" si="29"/>
        <v>0</v>
      </c>
      <c r="AH51" s="149">
        <f t="shared" si="30"/>
        <v>0</v>
      </c>
      <c r="AI51" s="383">
        <f t="shared" si="31"/>
        <v>0</v>
      </c>
      <c r="AJ51" s="149">
        <f t="shared" si="32"/>
        <v>0</v>
      </c>
    </row>
    <row r="52" spans="1:36" s="64" customFormat="1" x14ac:dyDescent="0.25">
      <c r="A52" s="94" t="e">
        <f>IF(UC_DADOS!$B$2=0,"",UC_DADOS!$B$2)</f>
        <v>#N/A</v>
      </c>
      <c r="B52" s="100"/>
      <c r="C52" s="100"/>
      <c r="D52" s="96"/>
      <c r="E52" s="96"/>
      <c r="F52" s="150"/>
      <c r="G52" s="97"/>
      <c r="H52" s="95"/>
      <c r="I52" s="97"/>
      <c r="J52" s="145">
        <f t="shared" si="16"/>
        <v>0</v>
      </c>
      <c r="K52" s="298"/>
      <c r="L52" s="299">
        <f t="shared" si="17"/>
        <v>0</v>
      </c>
      <c r="M52" s="97"/>
      <c r="N52" s="95"/>
      <c r="O52" s="95">
        <v>21.25</v>
      </c>
      <c r="P52" s="101"/>
      <c r="Q52" s="145">
        <f t="shared" si="18"/>
        <v>0</v>
      </c>
      <c r="R52" s="145">
        <f t="shared" si="19"/>
        <v>0</v>
      </c>
      <c r="S52" s="145">
        <f t="shared" si="20"/>
        <v>0</v>
      </c>
      <c r="T52" s="97" t="s">
        <v>570</v>
      </c>
      <c r="U52" s="97"/>
      <c r="V52" s="97"/>
      <c r="W52" s="97"/>
      <c r="X52" s="97"/>
      <c r="Y52" s="146">
        <f t="shared" si="21"/>
        <v>0</v>
      </c>
      <c r="Z52" s="147">
        <f t="shared" si="22"/>
        <v>0</v>
      </c>
      <c r="AA52" s="147">
        <f t="shared" si="23"/>
        <v>0</v>
      </c>
      <c r="AB52" s="146">
        <f t="shared" si="24"/>
        <v>21.25</v>
      </c>
      <c r="AC52" s="146">
        <f t="shared" si="25"/>
        <v>0</v>
      </c>
      <c r="AD52" s="148">
        <f t="shared" si="26"/>
        <v>0</v>
      </c>
      <c r="AE52" s="148">
        <f t="shared" si="27"/>
        <v>0</v>
      </c>
      <c r="AF52" s="148">
        <f t="shared" si="28"/>
        <v>0</v>
      </c>
      <c r="AG52" s="149">
        <f t="shared" si="29"/>
        <v>0</v>
      </c>
      <c r="AH52" s="149">
        <f t="shared" si="30"/>
        <v>0</v>
      </c>
      <c r="AI52" s="383">
        <f t="shared" si="31"/>
        <v>0</v>
      </c>
      <c r="AJ52" s="149">
        <f t="shared" si="32"/>
        <v>0</v>
      </c>
    </row>
    <row r="53" spans="1:36" s="64" customFormat="1" x14ac:dyDescent="0.25">
      <c r="A53" s="94" t="e">
        <f>IF(UC_DADOS!$B$2=0,"",UC_DADOS!$B$2)</f>
        <v>#N/A</v>
      </c>
      <c r="B53" s="100"/>
      <c r="C53" s="100"/>
      <c r="D53" s="96"/>
      <c r="E53" s="96"/>
      <c r="F53" s="150"/>
      <c r="G53" s="97"/>
      <c r="H53" s="95"/>
      <c r="I53" s="97"/>
      <c r="J53" s="145">
        <f t="shared" si="16"/>
        <v>0</v>
      </c>
      <c r="K53" s="298"/>
      <c r="L53" s="299">
        <f t="shared" si="17"/>
        <v>0</v>
      </c>
      <c r="M53" s="97"/>
      <c r="N53" s="95"/>
      <c r="O53" s="95">
        <v>21.25</v>
      </c>
      <c r="P53" s="101"/>
      <c r="Q53" s="145">
        <f t="shared" si="18"/>
        <v>0</v>
      </c>
      <c r="R53" s="145">
        <f t="shared" si="19"/>
        <v>0</v>
      </c>
      <c r="S53" s="145">
        <f t="shared" si="20"/>
        <v>0</v>
      </c>
      <c r="T53" s="97" t="s">
        <v>570</v>
      </c>
      <c r="U53" s="97"/>
      <c r="V53" s="97"/>
      <c r="W53" s="97"/>
      <c r="X53" s="97"/>
      <c r="Y53" s="146">
        <f t="shared" si="21"/>
        <v>0</v>
      </c>
      <c r="Z53" s="147">
        <f t="shared" si="22"/>
        <v>0</v>
      </c>
      <c r="AA53" s="147">
        <f t="shared" si="23"/>
        <v>0</v>
      </c>
      <c r="AB53" s="146">
        <f t="shared" si="24"/>
        <v>21.25</v>
      </c>
      <c r="AC53" s="146">
        <f t="shared" si="25"/>
        <v>0</v>
      </c>
      <c r="AD53" s="148">
        <f t="shared" si="26"/>
        <v>0</v>
      </c>
      <c r="AE53" s="148">
        <f t="shared" si="27"/>
        <v>0</v>
      </c>
      <c r="AF53" s="148">
        <f t="shared" si="28"/>
        <v>0</v>
      </c>
      <c r="AG53" s="149">
        <f t="shared" si="29"/>
        <v>0</v>
      </c>
      <c r="AH53" s="149">
        <f t="shared" si="30"/>
        <v>0</v>
      </c>
      <c r="AI53" s="383">
        <f t="shared" si="31"/>
        <v>0</v>
      </c>
      <c r="AJ53" s="149">
        <f t="shared" si="32"/>
        <v>0</v>
      </c>
    </row>
    <row r="54" spans="1:36" s="64" customFormat="1" x14ac:dyDescent="0.25">
      <c r="A54" s="94" t="e">
        <f>IF(UC_DADOS!$B$2=0,"",UC_DADOS!$B$2)</f>
        <v>#N/A</v>
      </c>
      <c r="B54" s="100"/>
      <c r="C54" s="100"/>
      <c r="D54" s="96"/>
      <c r="E54" s="96"/>
      <c r="F54" s="150"/>
      <c r="G54" s="97"/>
      <c r="H54" s="95"/>
      <c r="I54" s="97"/>
      <c r="J54" s="145">
        <f t="shared" si="16"/>
        <v>0</v>
      </c>
      <c r="K54" s="298"/>
      <c r="L54" s="299">
        <f t="shared" si="17"/>
        <v>0</v>
      </c>
      <c r="M54" s="97"/>
      <c r="N54" s="95"/>
      <c r="O54" s="95">
        <v>21.25</v>
      </c>
      <c r="P54" s="101"/>
      <c r="Q54" s="145">
        <f t="shared" si="18"/>
        <v>0</v>
      </c>
      <c r="R54" s="145">
        <f t="shared" si="19"/>
        <v>0</v>
      </c>
      <c r="S54" s="145">
        <f t="shared" si="20"/>
        <v>0</v>
      </c>
      <c r="T54" s="97" t="s">
        <v>570</v>
      </c>
      <c r="U54" s="97"/>
      <c r="V54" s="97"/>
      <c r="W54" s="97"/>
      <c r="X54" s="97"/>
      <c r="Y54" s="146">
        <f t="shared" si="21"/>
        <v>0</v>
      </c>
      <c r="Z54" s="147">
        <f t="shared" si="22"/>
        <v>0</v>
      </c>
      <c r="AA54" s="147">
        <f t="shared" si="23"/>
        <v>0</v>
      </c>
      <c r="AB54" s="146">
        <f t="shared" si="24"/>
        <v>21.25</v>
      </c>
      <c r="AC54" s="146">
        <f t="shared" si="25"/>
        <v>0</v>
      </c>
      <c r="AD54" s="148">
        <f t="shared" si="26"/>
        <v>0</v>
      </c>
      <c r="AE54" s="148">
        <f t="shared" si="27"/>
        <v>0</v>
      </c>
      <c r="AF54" s="148">
        <f t="shared" si="28"/>
        <v>0</v>
      </c>
      <c r="AG54" s="149">
        <f t="shared" si="29"/>
        <v>0</v>
      </c>
      <c r="AH54" s="149">
        <f t="shared" si="30"/>
        <v>0</v>
      </c>
      <c r="AI54" s="383">
        <f t="shared" si="31"/>
        <v>0</v>
      </c>
      <c r="AJ54" s="149">
        <f t="shared" si="32"/>
        <v>0</v>
      </c>
    </row>
    <row r="55" spans="1:36" s="64" customFormat="1" x14ac:dyDescent="0.25">
      <c r="A55" s="94" t="e">
        <f>IF(UC_DADOS!$B$2=0,"",UC_DADOS!$B$2)</f>
        <v>#N/A</v>
      </c>
      <c r="B55" s="100"/>
      <c r="C55" s="100"/>
      <c r="D55" s="96"/>
      <c r="E55" s="96"/>
      <c r="F55" s="150"/>
      <c r="G55" s="97"/>
      <c r="H55" s="95"/>
      <c r="I55" s="97"/>
      <c r="J55" s="145">
        <f t="shared" si="16"/>
        <v>0</v>
      </c>
      <c r="K55" s="298"/>
      <c r="L55" s="299">
        <f t="shared" si="17"/>
        <v>0</v>
      </c>
      <c r="M55" s="97"/>
      <c r="N55" s="95"/>
      <c r="O55" s="95">
        <v>21.25</v>
      </c>
      <c r="P55" s="101"/>
      <c r="Q55" s="145">
        <f t="shared" si="18"/>
        <v>0</v>
      </c>
      <c r="R55" s="145">
        <f t="shared" si="19"/>
        <v>0</v>
      </c>
      <c r="S55" s="145">
        <f t="shared" si="20"/>
        <v>0</v>
      </c>
      <c r="T55" s="97" t="s">
        <v>570</v>
      </c>
      <c r="U55" s="97"/>
      <c r="V55" s="97"/>
      <c r="W55" s="97"/>
      <c r="X55" s="97"/>
      <c r="Y55" s="146">
        <f t="shared" si="21"/>
        <v>0</v>
      </c>
      <c r="Z55" s="147">
        <f t="shared" si="22"/>
        <v>0</v>
      </c>
      <c r="AA55" s="147">
        <f t="shared" si="23"/>
        <v>0</v>
      </c>
      <c r="AB55" s="146">
        <f t="shared" si="24"/>
        <v>21.25</v>
      </c>
      <c r="AC55" s="146">
        <f t="shared" si="25"/>
        <v>0</v>
      </c>
      <c r="AD55" s="148">
        <f t="shared" si="26"/>
        <v>0</v>
      </c>
      <c r="AE55" s="148">
        <f t="shared" si="27"/>
        <v>0</v>
      </c>
      <c r="AF55" s="148">
        <f t="shared" si="28"/>
        <v>0</v>
      </c>
      <c r="AG55" s="149">
        <f t="shared" si="29"/>
        <v>0</v>
      </c>
      <c r="AH55" s="149">
        <f t="shared" si="30"/>
        <v>0</v>
      </c>
      <c r="AI55" s="383">
        <f t="shared" si="31"/>
        <v>0</v>
      </c>
      <c r="AJ55" s="149">
        <f t="shared" si="32"/>
        <v>0</v>
      </c>
    </row>
    <row r="56" spans="1:36" s="64" customFormat="1" x14ac:dyDescent="0.25">
      <c r="A56" s="94" t="e">
        <f>IF(UC_DADOS!$B$2=0,"",UC_DADOS!$B$2)</f>
        <v>#N/A</v>
      </c>
      <c r="B56" s="100"/>
      <c r="C56" s="100"/>
      <c r="D56" s="96"/>
      <c r="E56" s="96"/>
      <c r="F56" s="150"/>
      <c r="G56" s="97"/>
      <c r="H56" s="95"/>
      <c r="I56" s="97"/>
      <c r="J56" s="145">
        <f t="shared" si="16"/>
        <v>0</v>
      </c>
      <c r="K56" s="298"/>
      <c r="L56" s="299">
        <f t="shared" si="17"/>
        <v>0</v>
      </c>
      <c r="M56" s="97"/>
      <c r="N56" s="95"/>
      <c r="O56" s="95">
        <v>21.25</v>
      </c>
      <c r="P56" s="101"/>
      <c r="Q56" s="145">
        <f t="shared" si="18"/>
        <v>0</v>
      </c>
      <c r="R56" s="145">
        <f t="shared" si="19"/>
        <v>0</v>
      </c>
      <c r="S56" s="145">
        <f t="shared" si="20"/>
        <v>0</v>
      </c>
      <c r="T56" s="97" t="s">
        <v>570</v>
      </c>
      <c r="U56" s="97"/>
      <c r="V56" s="97"/>
      <c r="W56" s="97"/>
      <c r="X56" s="97"/>
      <c r="Y56" s="146">
        <f t="shared" si="21"/>
        <v>0</v>
      </c>
      <c r="Z56" s="147">
        <f t="shared" si="22"/>
        <v>0</v>
      </c>
      <c r="AA56" s="147">
        <f t="shared" si="23"/>
        <v>0</v>
      </c>
      <c r="AB56" s="146">
        <f t="shared" si="24"/>
        <v>21.25</v>
      </c>
      <c r="AC56" s="146">
        <f t="shared" si="25"/>
        <v>0</v>
      </c>
      <c r="AD56" s="148">
        <f t="shared" si="26"/>
        <v>0</v>
      </c>
      <c r="AE56" s="148">
        <f t="shared" si="27"/>
        <v>0</v>
      </c>
      <c r="AF56" s="148">
        <f t="shared" si="28"/>
        <v>0</v>
      </c>
      <c r="AG56" s="149">
        <f t="shared" si="29"/>
        <v>0</v>
      </c>
      <c r="AH56" s="149">
        <f t="shared" si="30"/>
        <v>0</v>
      </c>
      <c r="AI56" s="383">
        <f t="shared" si="31"/>
        <v>0</v>
      </c>
      <c r="AJ56" s="149">
        <f t="shared" si="32"/>
        <v>0</v>
      </c>
    </row>
    <row r="57" spans="1:36" s="64" customFormat="1" x14ac:dyDescent="0.25">
      <c r="A57" s="94" t="e">
        <f>IF(UC_DADOS!$B$2=0,"",UC_DADOS!$B$2)</f>
        <v>#N/A</v>
      </c>
      <c r="B57" s="100"/>
      <c r="C57" s="100"/>
      <c r="D57" s="96"/>
      <c r="E57" s="96"/>
      <c r="F57" s="150"/>
      <c r="G57" s="97"/>
      <c r="H57" s="95"/>
      <c r="I57" s="97"/>
      <c r="J57" s="145">
        <f t="shared" si="16"/>
        <v>0</v>
      </c>
      <c r="K57" s="298"/>
      <c r="L57" s="299">
        <f t="shared" si="17"/>
        <v>0</v>
      </c>
      <c r="M57" s="97"/>
      <c r="N57" s="95"/>
      <c r="O57" s="95">
        <v>21.25</v>
      </c>
      <c r="P57" s="101"/>
      <c r="Q57" s="145">
        <f t="shared" si="18"/>
        <v>0</v>
      </c>
      <c r="R57" s="145">
        <f t="shared" si="19"/>
        <v>0</v>
      </c>
      <c r="S57" s="145">
        <f t="shared" si="20"/>
        <v>0</v>
      </c>
      <c r="T57" s="97" t="s">
        <v>570</v>
      </c>
      <c r="U57" s="97"/>
      <c r="V57" s="97"/>
      <c r="W57" s="97"/>
      <c r="X57" s="97"/>
      <c r="Y57" s="146">
        <f t="shared" si="21"/>
        <v>0</v>
      </c>
      <c r="Z57" s="147">
        <f t="shared" si="22"/>
        <v>0</v>
      </c>
      <c r="AA57" s="147">
        <f t="shared" si="23"/>
        <v>0</v>
      </c>
      <c r="AB57" s="146">
        <f t="shared" si="24"/>
        <v>21.25</v>
      </c>
      <c r="AC57" s="146">
        <f t="shared" si="25"/>
        <v>0</v>
      </c>
      <c r="AD57" s="148">
        <f t="shared" si="26"/>
        <v>0</v>
      </c>
      <c r="AE57" s="148">
        <f t="shared" si="27"/>
        <v>0</v>
      </c>
      <c r="AF57" s="148">
        <f t="shared" si="28"/>
        <v>0</v>
      </c>
      <c r="AG57" s="149">
        <f t="shared" si="29"/>
        <v>0</v>
      </c>
      <c r="AH57" s="149">
        <f t="shared" si="30"/>
        <v>0</v>
      </c>
      <c r="AI57" s="383">
        <f t="shared" si="31"/>
        <v>0</v>
      </c>
      <c r="AJ57" s="149">
        <f t="shared" si="32"/>
        <v>0</v>
      </c>
    </row>
    <row r="58" spans="1:36" s="64" customFormat="1" x14ac:dyDescent="0.25">
      <c r="A58" s="94" t="e">
        <f>IF(UC_DADOS!$B$2=0,"",UC_DADOS!$B$2)</f>
        <v>#N/A</v>
      </c>
      <c r="B58" s="100"/>
      <c r="C58" s="100"/>
      <c r="D58" s="96"/>
      <c r="E58" s="96"/>
      <c r="F58" s="150"/>
      <c r="G58" s="97"/>
      <c r="H58" s="95"/>
      <c r="I58" s="97"/>
      <c r="J58" s="145">
        <f t="shared" si="16"/>
        <v>0</v>
      </c>
      <c r="K58" s="298"/>
      <c r="L58" s="299">
        <f t="shared" si="17"/>
        <v>0</v>
      </c>
      <c r="M58" s="97"/>
      <c r="N58" s="95"/>
      <c r="O58" s="95">
        <v>21.25</v>
      </c>
      <c r="P58" s="101"/>
      <c r="Q58" s="145">
        <f t="shared" si="18"/>
        <v>0</v>
      </c>
      <c r="R58" s="145">
        <f t="shared" si="19"/>
        <v>0</v>
      </c>
      <c r="S58" s="145">
        <f t="shared" si="20"/>
        <v>0</v>
      </c>
      <c r="T58" s="97" t="s">
        <v>570</v>
      </c>
      <c r="U58" s="97"/>
      <c r="V58" s="97"/>
      <c r="W58" s="97"/>
      <c r="X58" s="97"/>
      <c r="Y58" s="146">
        <f t="shared" si="21"/>
        <v>0</v>
      </c>
      <c r="Z58" s="147">
        <f t="shared" si="22"/>
        <v>0</v>
      </c>
      <c r="AA58" s="147">
        <f t="shared" si="23"/>
        <v>0</v>
      </c>
      <c r="AB58" s="146">
        <f t="shared" si="24"/>
        <v>21.25</v>
      </c>
      <c r="AC58" s="146">
        <f t="shared" si="25"/>
        <v>0</v>
      </c>
      <c r="AD58" s="148">
        <f t="shared" si="26"/>
        <v>0</v>
      </c>
      <c r="AE58" s="148">
        <f t="shared" si="27"/>
        <v>0</v>
      </c>
      <c r="AF58" s="148">
        <f t="shared" si="28"/>
        <v>0</v>
      </c>
      <c r="AG58" s="149">
        <f t="shared" si="29"/>
        <v>0</v>
      </c>
      <c r="AH58" s="149">
        <f t="shared" si="30"/>
        <v>0</v>
      </c>
      <c r="AI58" s="383">
        <f t="shared" si="31"/>
        <v>0</v>
      </c>
      <c r="AJ58" s="149">
        <f t="shared" si="32"/>
        <v>0</v>
      </c>
    </row>
    <row r="59" spans="1:36" s="64" customFormat="1" x14ac:dyDescent="0.25">
      <c r="A59" s="94" t="e">
        <f>IF(UC_DADOS!$B$2=0,"",UC_DADOS!$B$2)</f>
        <v>#N/A</v>
      </c>
      <c r="B59" s="100"/>
      <c r="C59" s="100"/>
      <c r="D59" s="96"/>
      <c r="E59" s="96"/>
      <c r="F59" s="150"/>
      <c r="G59" s="97"/>
      <c r="H59" s="95"/>
      <c r="I59" s="97"/>
      <c r="J59" s="145">
        <f t="shared" si="16"/>
        <v>0</v>
      </c>
      <c r="K59" s="298"/>
      <c r="L59" s="299">
        <f t="shared" si="17"/>
        <v>0</v>
      </c>
      <c r="M59" s="97"/>
      <c r="N59" s="95"/>
      <c r="O59" s="95">
        <v>21.25</v>
      </c>
      <c r="P59" s="101"/>
      <c r="Q59" s="145">
        <f t="shared" si="18"/>
        <v>0</v>
      </c>
      <c r="R59" s="145">
        <f t="shared" si="19"/>
        <v>0</v>
      </c>
      <c r="S59" s="145">
        <f t="shared" si="20"/>
        <v>0</v>
      </c>
      <c r="T59" s="97" t="s">
        <v>570</v>
      </c>
      <c r="U59" s="97"/>
      <c r="V59" s="97"/>
      <c r="W59" s="97"/>
      <c r="X59" s="97"/>
      <c r="Y59" s="146">
        <f t="shared" si="21"/>
        <v>0</v>
      </c>
      <c r="Z59" s="147">
        <f t="shared" si="22"/>
        <v>0</v>
      </c>
      <c r="AA59" s="147">
        <f t="shared" si="23"/>
        <v>0</v>
      </c>
      <c r="AB59" s="146">
        <f t="shared" si="24"/>
        <v>21.25</v>
      </c>
      <c r="AC59" s="146">
        <f t="shared" si="25"/>
        <v>0</v>
      </c>
      <c r="AD59" s="148">
        <f t="shared" si="26"/>
        <v>0</v>
      </c>
      <c r="AE59" s="148">
        <f t="shared" si="27"/>
        <v>0</v>
      </c>
      <c r="AF59" s="148">
        <f t="shared" si="28"/>
        <v>0</v>
      </c>
      <c r="AG59" s="149">
        <f t="shared" si="29"/>
        <v>0</v>
      </c>
      <c r="AH59" s="149">
        <f t="shared" si="30"/>
        <v>0</v>
      </c>
      <c r="AI59" s="383">
        <f t="shared" si="31"/>
        <v>0</v>
      </c>
      <c r="AJ59" s="149">
        <f t="shared" si="32"/>
        <v>0</v>
      </c>
    </row>
    <row r="60" spans="1:36" s="64" customFormat="1" x14ac:dyDescent="0.25">
      <c r="A60" s="94" t="e">
        <f>IF(UC_DADOS!$B$2=0,"",UC_DADOS!$B$2)</f>
        <v>#N/A</v>
      </c>
      <c r="B60" s="100"/>
      <c r="C60" s="100"/>
      <c r="D60" s="96"/>
      <c r="E60" s="96"/>
      <c r="F60" s="150"/>
      <c r="G60" s="97"/>
      <c r="H60" s="95"/>
      <c r="I60" s="97"/>
      <c r="J60" s="145">
        <f t="shared" si="16"/>
        <v>0</v>
      </c>
      <c r="K60" s="298"/>
      <c r="L60" s="299">
        <f t="shared" si="17"/>
        <v>0</v>
      </c>
      <c r="M60" s="97"/>
      <c r="N60" s="95"/>
      <c r="O60" s="95">
        <v>21.25</v>
      </c>
      <c r="P60" s="101"/>
      <c r="Q60" s="145">
        <f t="shared" si="18"/>
        <v>0</v>
      </c>
      <c r="R60" s="145">
        <f t="shared" si="19"/>
        <v>0</v>
      </c>
      <c r="S60" s="145">
        <f t="shared" si="20"/>
        <v>0</v>
      </c>
      <c r="T60" s="97" t="s">
        <v>570</v>
      </c>
      <c r="U60" s="97"/>
      <c r="V60" s="97"/>
      <c r="W60" s="97"/>
      <c r="X60" s="97"/>
      <c r="Y60" s="146">
        <f t="shared" si="21"/>
        <v>0</v>
      </c>
      <c r="Z60" s="147">
        <f t="shared" si="22"/>
        <v>0</v>
      </c>
      <c r="AA60" s="147">
        <f t="shared" si="23"/>
        <v>0</v>
      </c>
      <c r="AB60" s="146">
        <f t="shared" si="24"/>
        <v>21.25</v>
      </c>
      <c r="AC60" s="146">
        <f t="shared" si="25"/>
        <v>0</v>
      </c>
      <c r="AD60" s="148">
        <f t="shared" si="26"/>
        <v>0</v>
      </c>
      <c r="AE60" s="148">
        <f t="shared" si="27"/>
        <v>0</v>
      </c>
      <c r="AF60" s="148">
        <f t="shared" si="28"/>
        <v>0</v>
      </c>
      <c r="AG60" s="149">
        <f t="shared" si="29"/>
        <v>0</v>
      </c>
      <c r="AH60" s="149">
        <f t="shared" si="30"/>
        <v>0</v>
      </c>
      <c r="AI60" s="383">
        <f t="shared" si="31"/>
        <v>0</v>
      </c>
      <c r="AJ60" s="149">
        <f t="shared" si="32"/>
        <v>0</v>
      </c>
    </row>
    <row r="61" spans="1:36" s="64" customFormat="1" x14ac:dyDescent="0.25">
      <c r="A61" s="94" t="e">
        <f>IF(UC_DADOS!$B$2=0,"",UC_DADOS!$B$2)</f>
        <v>#N/A</v>
      </c>
      <c r="B61" s="100"/>
      <c r="C61" s="100"/>
      <c r="D61" s="96"/>
      <c r="E61" s="96"/>
      <c r="F61" s="150"/>
      <c r="G61" s="97"/>
      <c r="H61" s="95"/>
      <c r="I61" s="97"/>
      <c r="J61" s="145">
        <f t="shared" si="16"/>
        <v>0</v>
      </c>
      <c r="K61" s="298"/>
      <c r="L61" s="299">
        <f t="shared" si="17"/>
        <v>0</v>
      </c>
      <c r="M61" s="97"/>
      <c r="N61" s="95"/>
      <c r="O61" s="95">
        <v>21.25</v>
      </c>
      <c r="P61" s="101"/>
      <c r="Q61" s="145">
        <f t="shared" si="18"/>
        <v>0</v>
      </c>
      <c r="R61" s="145">
        <f t="shared" si="19"/>
        <v>0</v>
      </c>
      <c r="S61" s="145">
        <f t="shared" si="20"/>
        <v>0</v>
      </c>
      <c r="T61" s="97" t="s">
        <v>570</v>
      </c>
      <c r="U61" s="97"/>
      <c r="V61" s="97"/>
      <c r="W61" s="97"/>
      <c r="X61" s="97"/>
      <c r="Y61" s="146">
        <f t="shared" si="21"/>
        <v>0</v>
      </c>
      <c r="Z61" s="147">
        <f t="shared" si="22"/>
        <v>0</v>
      </c>
      <c r="AA61" s="147">
        <f t="shared" si="23"/>
        <v>0</v>
      </c>
      <c r="AB61" s="146">
        <f t="shared" si="24"/>
        <v>21.25</v>
      </c>
      <c r="AC61" s="146">
        <f t="shared" si="25"/>
        <v>0</v>
      </c>
      <c r="AD61" s="148">
        <f t="shared" si="26"/>
        <v>0</v>
      </c>
      <c r="AE61" s="148">
        <f t="shared" si="27"/>
        <v>0</v>
      </c>
      <c r="AF61" s="148">
        <f t="shared" si="28"/>
        <v>0</v>
      </c>
      <c r="AG61" s="149">
        <f t="shared" si="29"/>
        <v>0</v>
      </c>
      <c r="AH61" s="149">
        <f t="shared" si="30"/>
        <v>0</v>
      </c>
      <c r="AI61" s="383">
        <f t="shared" si="31"/>
        <v>0</v>
      </c>
      <c r="AJ61" s="149">
        <f t="shared" si="32"/>
        <v>0</v>
      </c>
    </row>
    <row r="62" spans="1:36" s="64" customFormat="1" x14ac:dyDescent="0.25">
      <c r="A62" s="94" t="e">
        <f>IF(UC_DADOS!$B$2=0,"",UC_DADOS!$B$2)</f>
        <v>#N/A</v>
      </c>
      <c r="B62" s="100"/>
      <c r="C62" s="100"/>
      <c r="D62" s="96"/>
      <c r="E62" s="96"/>
      <c r="F62" s="150"/>
      <c r="G62" s="97"/>
      <c r="H62" s="95"/>
      <c r="I62" s="97"/>
      <c r="J62" s="145">
        <f t="shared" si="16"/>
        <v>0</v>
      </c>
      <c r="K62" s="298"/>
      <c r="L62" s="299">
        <f t="shared" si="17"/>
        <v>0</v>
      </c>
      <c r="M62" s="97"/>
      <c r="N62" s="95"/>
      <c r="O62" s="95">
        <v>21.25</v>
      </c>
      <c r="P62" s="101"/>
      <c r="Q62" s="145">
        <f t="shared" si="18"/>
        <v>0</v>
      </c>
      <c r="R62" s="145">
        <f t="shared" si="19"/>
        <v>0</v>
      </c>
      <c r="S62" s="145">
        <f t="shared" si="20"/>
        <v>0</v>
      </c>
      <c r="T62" s="97" t="s">
        <v>570</v>
      </c>
      <c r="U62" s="97"/>
      <c r="V62" s="97"/>
      <c r="W62" s="97"/>
      <c r="X62" s="97"/>
      <c r="Y62" s="146">
        <f t="shared" si="21"/>
        <v>0</v>
      </c>
      <c r="Z62" s="147">
        <f t="shared" si="22"/>
        <v>0</v>
      </c>
      <c r="AA62" s="147">
        <f t="shared" si="23"/>
        <v>0</v>
      </c>
      <c r="AB62" s="146">
        <f t="shared" si="24"/>
        <v>21.25</v>
      </c>
      <c r="AC62" s="146">
        <f t="shared" si="25"/>
        <v>0</v>
      </c>
      <c r="AD62" s="148">
        <f t="shared" si="26"/>
        <v>0</v>
      </c>
      <c r="AE62" s="148">
        <f t="shared" si="27"/>
        <v>0</v>
      </c>
      <c r="AF62" s="148">
        <f t="shared" si="28"/>
        <v>0</v>
      </c>
      <c r="AG62" s="149">
        <f t="shared" si="29"/>
        <v>0</v>
      </c>
      <c r="AH62" s="149">
        <f t="shared" si="30"/>
        <v>0</v>
      </c>
      <c r="AI62" s="383">
        <f t="shared" si="31"/>
        <v>0</v>
      </c>
      <c r="AJ62" s="149">
        <f t="shared" si="32"/>
        <v>0</v>
      </c>
    </row>
    <row r="63" spans="1:36" s="64" customFormat="1" x14ac:dyDescent="0.25">
      <c r="A63" s="94" t="e">
        <f>IF(UC_DADOS!$B$2=0,"",UC_DADOS!$B$2)</f>
        <v>#N/A</v>
      </c>
      <c r="B63" s="100"/>
      <c r="C63" s="100"/>
      <c r="D63" s="96"/>
      <c r="E63" s="96"/>
      <c r="F63" s="150"/>
      <c r="G63" s="97"/>
      <c r="H63" s="95"/>
      <c r="I63" s="97"/>
      <c r="J63" s="145">
        <f t="shared" si="16"/>
        <v>0</v>
      </c>
      <c r="K63" s="298"/>
      <c r="L63" s="299">
        <f t="shared" si="17"/>
        <v>0</v>
      </c>
      <c r="M63" s="97"/>
      <c r="N63" s="95"/>
      <c r="O63" s="95">
        <v>21.25</v>
      </c>
      <c r="P63" s="101"/>
      <c r="Q63" s="145">
        <f t="shared" si="18"/>
        <v>0</v>
      </c>
      <c r="R63" s="145">
        <f t="shared" si="19"/>
        <v>0</v>
      </c>
      <c r="S63" s="145">
        <f t="shared" si="20"/>
        <v>0</v>
      </c>
      <c r="T63" s="97" t="s">
        <v>570</v>
      </c>
      <c r="U63" s="97"/>
      <c r="V63" s="97"/>
      <c r="W63" s="97"/>
      <c r="X63" s="97"/>
      <c r="Y63" s="146">
        <f t="shared" si="21"/>
        <v>0</v>
      </c>
      <c r="Z63" s="147">
        <f t="shared" si="22"/>
        <v>0</v>
      </c>
      <c r="AA63" s="147">
        <f t="shared" si="23"/>
        <v>0</v>
      </c>
      <c r="AB63" s="146">
        <f t="shared" si="24"/>
        <v>21.25</v>
      </c>
      <c r="AC63" s="146">
        <f t="shared" si="25"/>
        <v>0</v>
      </c>
      <c r="AD63" s="148">
        <f t="shared" si="26"/>
        <v>0</v>
      </c>
      <c r="AE63" s="148">
        <f t="shared" si="27"/>
        <v>0</v>
      </c>
      <c r="AF63" s="148">
        <f t="shared" si="28"/>
        <v>0</v>
      </c>
      <c r="AG63" s="149">
        <f t="shared" si="29"/>
        <v>0</v>
      </c>
      <c r="AH63" s="149">
        <f t="shared" si="30"/>
        <v>0</v>
      </c>
      <c r="AI63" s="383">
        <f t="shared" si="31"/>
        <v>0</v>
      </c>
      <c r="AJ63" s="149">
        <f t="shared" si="32"/>
        <v>0</v>
      </c>
    </row>
    <row r="64" spans="1:36" s="64" customFormat="1" x14ac:dyDescent="0.25">
      <c r="A64" s="94" t="e">
        <f>IF(UC_DADOS!$B$2=0,"",UC_DADOS!$B$2)</f>
        <v>#N/A</v>
      </c>
      <c r="B64" s="100"/>
      <c r="C64" s="100"/>
      <c r="D64" s="96"/>
      <c r="E64" s="96"/>
      <c r="F64" s="150"/>
      <c r="G64" s="97"/>
      <c r="H64" s="95"/>
      <c r="I64" s="97"/>
      <c r="J64" s="145">
        <f t="shared" si="16"/>
        <v>0</v>
      </c>
      <c r="K64" s="298"/>
      <c r="L64" s="299">
        <f t="shared" si="17"/>
        <v>0</v>
      </c>
      <c r="M64" s="97"/>
      <c r="N64" s="95"/>
      <c r="O64" s="95">
        <v>21.25</v>
      </c>
      <c r="P64" s="101"/>
      <c r="Q64" s="145">
        <f t="shared" si="18"/>
        <v>0</v>
      </c>
      <c r="R64" s="145">
        <f t="shared" si="19"/>
        <v>0</v>
      </c>
      <c r="S64" s="145">
        <f t="shared" si="20"/>
        <v>0</v>
      </c>
      <c r="T64" s="97" t="s">
        <v>570</v>
      </c>
      <c r="U64" s="97"/>
      <c r="V64" s="97"/>
      <c r="W64" s="97"/>
      <c r="X64" s="97"/>
      <c r="Y64" s="146">
        <f t="shared" si="21"/>
        <v>0</v>
      </c>
      <c r="Z64" s="147">
        <f t="shared" si="22"/>
        <v>0</v>
      </c>
      <c r="AA64" s="147">
        <f t="shared" si="23"/>
        <v>0</v>
      </c>
      <c r="AB64" s="146">
        <f t="shared" si="24"/>
        <v>21.25</v>
      </c>
      <c r="AC64" s="146">
        <f t="shared" si="25"/>
        <v>0</v>
      </c>
      <c r="AD64" s="148">
        <f t="shared" si="26"/>
        <v>0</v>
      </c>
      <c r="AE64" s="148">
        <f t="shared" si="27"/>
        <v>0</v>
      </c>
      <c r="AF64" s="148">
        <f t="shared" si="28"/>
        <v>0</v>
      </c>
      <c r="AG64" s="149">
        <f t="shared" si="29"/>
        <v>0</v>
      </c>
      <c r="AH64" s="149">
        <f t="shared" si="30"/>
        <v>0</v>
      </c>
      <c r="AI64" s="383">
        <f t="shared" si="31"/>
        <v>0</v>
      </c>
      <c r="AJ64" s="149">
        <f t="shared" si="32"/>
        <v>0</v>
      </c>
    </row>
    <row r="65" spans="1:36" s="64" customFormat="1" x14ac:dyDescent="0.25">
      <c r="A65" s="94" t="e">
        <f>IF(UC_DADOS!$B$2=0,"",UC_DADOS!$B$2)</f>
        <v>#N/A</v>
      </c>
      <c r="B65" s="100"/>
      <c r="C65" s="100"/>
      <c r="D65" s="96"/>
      <c r="E65" s="96"/>
      <c r="F65" s="150"/>
      <c r="G65" s="97"/>
      <c r="H65" s="95"/>
      <c r="I65" s="97"/>
      <c r="J65" s="145">
        <f t="shared" si="0"/>
        <v>0</v>
      </c>
      <c r="K65" s="298"/>
      <c r="L65" s="299">
        <f t="shared" ref="L65:L95" si="33">K65*M65*O65</f>
        <v>0</v>
      </c>
      <c r="M65" s="97"/>
      <c r="N65" s="95"/>
      <c r="O65" s="95">
        <v>21.25</v>
      </c>
      <c r="P65" s="101"/>
      <c r="Q65" s="145">
        <f t="shared" si="1"/>
        <v>0</v>
      </c>
      <c r="R65" s="145">
        <f t="shared" si="2"/>
        <v>0</v>
      </c>
      <c r="S65" s="145">
        <f t="shared" si="3"/>
        <v>0</v>
      </c>
      <c r="T65" s="97" t="s">
        <v>570</v>
      </c>
      <c r="U65" s="97"/>
      <c r="V65" s="97"/>
      <c r="W65" s="97"/>
      <c r="X65" s="97"/>
      <c r="Y65" s="146">
        <f t="shared" si="4"/>
        <v>0</v>
      </c>
      <c r="Z65" s="147">
        <f t="shared" si="5"/>
        <v>0</v>
      </c>
      <c r="AA65" s="147">
        <f t="shared" si="6"/>
        <v>0</v>
      </c>
      <c r="AB65" s="146">
        <f t="shared" si="7"/>
        <v>21.25</v>
      </c>
      <c r="AC65" s="146">
        <f t="shared" si="8"/>
        <v>0</v>
      </c>
      <c r="AD65" s="148">
        <f t="shared" si="9"/>
        <v>0</v>
      </c>
      <c r="AE65" s="148">
        <f t="shared" si="10"/>
        <v>0</v>
      </c>
      <c r="AF65" s="148">
        <f t="shared" si="11"/>
        <v>0</v>
      </c>
      <c r="AG65" s="149">
        <f t="shared" si="12"/>
        <v>0</v>
      </c>
      <c r="AH65" s="149">
        <f t="shared" si="13"/>
        <v>0</v>
      </c>
      <c r="AI65" s="383">
        <f t="shared" si="14"/>
        <v>0</v>
      </c>
      <c r="AJ65" s="149">
        <f t="shared" si="15"/>
        <v>0</v>
      </c>
    </row>
    <row r="66" spans="1:36" s="64" customFormat="1" x14ac:dyDescent="0.25">
      <c r="A66" s="94" t="e">
        <f>IF(UC_DADOS!$B$2=0,"",UC_DADOS!$B$2)</f>
        <v>#N/A</v>
      </c>
      <c r="B66" s="100"/>
      <c r="C66" s="100"/>
      <c r="D66" s="96"/>
      <c r="E66" s="96"/>
      <c r="F66" s="94"/>
      <c r="G66" s="97"/>
      <c r="H66" s="95"/>
      <c r="I66" s="97"/>
      <c r="J66" s="145">
        <f t="shared" si="0"/>
        <v>0</v>
      </c>
      <c r="K66" s="298"/>
      <c r="L66" s="299">
        <f t="shared" si="33"/>
        <v>0</v>
      </c>
      <c r="M66" s="97"/>
      <c r="N66" s="95"/>
      <c r="O66" s="95">
        <v>21.25</v>
      </c>
      <c r="P66" s="101"/>
      <c r="Q66" s="145">
        <f t="shared" si="1"/>
        <v>0</v>
      </c>
      <c r="R66" s="145">
        <f t="shared" si="2"/>
        <v>0</v>
      </c>
      <c r="S66" s="145">
        <f t="shared" si="3"/>
        <v>0</v>
      </c>
      <c r="T66" s="97" t="s">
        <v>570</v>
      </c>
      <c r="U66" s="94"/>
      <c r="V66" s="97"/>
      <c r="W66" s="97"/>
      <c r="X66" s="97"/>
      <c r="Y66" s="146">
        <f t="shared" si="4"/>
        <v>0</v>
      </c>
      <c r="Z66" s="147">
        <f t="shared" si="5"/>
        <v>0</v>
      </c>
      <c r="AA66" s="147">
        <f t="shared" si="6"/>
        <v>0</v>
      </c>
      <c r="AB66" s="146">
        <f t="shared" si="7"/>
        <v>21.25</v>
      </c>
      <c r="AC66" s="146">
        <f t="shared" si="8"/>
        <v>0</v>
      </c>
      <c r="AD66" s="148">
        <f t="shared" si="9"/>
        <v>0</v>
      </c>
      <c r="AE66" s="148">
        <f t="shared" si="10"/>
        <v>0</v>
      </c>
      <c r="AF66" s="148">
        <f t="shared" si="11"/>
        <v>0</v>
      </c>
      <c r="AG66" s="149">
        <f t="shared" si="12"/>
        <v>0</v>
      </c>
      <c r="AH66" s="149">
        <f t="shared" si="13"/>
        <v>0</v>
      </c>
      <c r="AI66" s="383">
        <f t="shared" si="14"/>
        <v>0</v>
      </c>
      <c r="AJ66" s="149">
        <f t="shared" si="15"/>
        <v>0</v>
      </c>
    </row>
    <row r="67" spans="1:36" s="64" customFormat="1" x14ac:dyDescent="0.25">
      <c r="A67" s="94" t="e">
        <f>IF(UC_DADOS!$B$2=0,"",UC_DADOS!$B$2)</f>
        <v>#N/A</v>
      </c>
      <c r="B67" s="100"/>
      <c r="C67" s="100"/>
      <c r="D67" s="96"/>
      <c r="E67" s="96"/>
      <c r="F67" s="94"/>
      <c r="G67" s="97"/>
      <c r="H67" s="95"/>
      <c r="I67" s="97"/>
      <c r="J67" s="145">
        <f t="shared" si="0"/>
        <v>0</v>
      </c>
      <c r="K67" s="298"/>
      <c r="L67" s="299">
        <f t="shared" si="33"/>
        <v>0</v>
      </c>
      <c r="M67" s="97"/>
      <c r="N67" s="95"/>
      <c r="O67" s="95">
        <v>21.25</v>
      </c>
      <c r="P67" s="101"/>
      <c r="Q67" s="145">
        <f t="shared" si="1"/>
        <v>0</v>
      </c>
      <c r="R67" s="145">
        <f t="shared" si="2"/>
        <v>0</v>
      </c>
      <c r="S67" s="145">
        <f t="shared" si="3"/>
        <v>0</v>
      </c>
      <c r="T67" s="97" t="s">
        <v>570</v>
      </c>
      <c r="U67" s="94"/>
      <c r="V67" s="97"/>
      <c r="W67" s="97"/>
      <c r="X67" s="97"/>
      <c r="Y67" s="146">
        <f t="shared" si="4"/>
        <v>0</v>
      </c>
      <c r="Z67" s="147">
        <f t="shared" si="5"/>
        <v>0</v>
      </c>
      <c r="AA67" s="147">
        <f t="shared" si="6"/>
        <v>0</v>
      </c>
      <c r="AB67" s="146">
        <f t="shared" si="7"/>
        <v>21.25</v>
      </c>
      <c r="AC67" s="146">
        <f t="shared" si="8"/>
        <v>0</v>
      </c>
      <c r="AD67" s="148">
        <f t="shared" si="9"/>
        <v>0</v>
      </c>
      <c r="AE67" s="148">
        <f t="shared" si="10"/>
        <v>0</v>
      </c>
      <c r="AF67" s="148">
        <f t="shared" si="11"/>
        <v>0</v>
      </c>
      <c r="AG67" s="149">
        <f t="shared" si="12"/>
        <v>0</v>
      </c>
      <c r="AH67" s="149">
        <f t="shared" si="13"/>
        <v>0</v>
      </c>
      <c r="AI67" s="383">
        <f t="shared" si="14"/>
        <v>0</v>
      </c>
      <c r="AJ67" s="149">
        <f t="shared" si="15"/>
        <v>0</v>
      </c>
    </row>
    <row r="68" spans="1:36" s="64" customFormat="1" x14ac:dyDescent="0.25">
      <c r="A68" s="94" t="e">
        <f>IF(UC_DADOS!$B$2=0,"",UC_DADOS!$B$2)</f>
        <v>#N/A</v>
      </c>
      <c r="B68" s="100"/>
      <c r="C68" s="100"/>
      <c r="D68" s="102"/>
      <c r="E68" s="96"/>
      <c r="F68" s="94"/>
      <c r="G68" s="97"/>
      <c r="H68" s="95"/>
      <c r="I68" s="97"/>
      <c r="J68" s="145">
        <f t="shared" si="0"/>
        <v>0</v>
      </c>
      <c r="K68" s="298"/>
      <c r="L68" s="299">
        <f t="shared" si="33"/>
        <v>0</v>
      </c>
      <c r="M68" s="97"/>
      <c r="N68" s="95"/>
      <c r="O68" s="95">
        <v>21.25</v>
      </c>
      <c r="P68" s="101"/>
      <c r="Q68" s="145">
        <f t="shared" si="1"/>
        <v>0</v>
      </c>
      <c r="R68" s="145">
        <f t="shared" si="2"/>
        <v>0</v>
      </c>
      <c r="S68" s="145">
        <f t="shared" si="3"/>
        <v>0</v>
      </c>
      <c r="T68" s="97" t="s">
        <v>570</v>
      </c>
      <c r="U68" s="94"/>
      <c r="V68" s="97"/>
      <c r="W68" s="97"/>
      <c r="X68" s="97"/>
      <c r="Y68" s="146">
        <f t="shared" si="4"/>
        <v>0</v>
      </c>
      <c r="Z68" s="147">
        <f t="shared" si="5"/>
        <v>0</v>
      </c>
      <c r="AA68" s="147">
        <f t="shared" si="6"/>
        <v>0</v>
      </c>
      <c r="AB68" s="146">
        <f t="shared" si="7"/>
        <v>21.25</v>
      </c>
      <c r="AC68" s="146">
        <f t="shared" si="8"/>
        <v>0</v>
      </c>
      <c r="AD68" s="148">
        <f t="shared" si="9"/>
        <v>0</v>
      </c>
      <c r="AE68" s="148">
        <f t="shared" si="10"/>
        <v>0</v>
      </c>
      <c r="AF68" s="148">
        <f t="shared" si="11"/>
        <v>0</v>
      </c>
      <c r="AG68" s="149">
        <f t="shared" si="12"/>
        <v>0</v>
      </c>
      <c r="AH68" s="149">
        <f t="shared" si="13"/>
        <v>0</v>
      </c>
      <c r="AI68" s="383">
        <f t="shared" si="14"/>
        <v>0</v>
      </c>
      <c r="AJ68" s="149">
        <f t="shared" si="15"/>
        <v>0</v>
      </c>
    </row>
    <row r="69" spans="1:36" s="64" customFormat="1" x14ac:dyDescent="0.25">
      <c r="A69" s="94" t="e">
        <f>IF(UC_DADOS!$B$2=0,"",UC_DADOS!$B$2)</f>
        <v>#N/A</v>
      </c>
      <c r="B69" s="100"/>
      <c r="C69" s="100"/>
      <c r="D69" s="96"/>
      <c r="E69" s="96"/>
      <c r="F69" s="94"/>
      <c r="G69" s="97"/>
      <c r="H69" s="95"/>
      <c r="I69" s="97"/>
      <c r="J69" s="145">
        <f t="shared" si="0"/>
        <v>0</v>
      </c>
      <c r="K69" s="298"/>
      <c r="L69" s="299">
        <f t="shared" si="33"/>
        <v>0</v>
      </c>
      <c r="M69" s="97"/>
      <c r="N69" s="95"/>
      <c r="O69" s="95">
        <v>21.25</v>
      </c>
      <c r="P69" s="101"/>
      <c r="Q69" s="145">
        <f t="shared" si="1"/>
        <v>0</v>
      </c>
      <c r="R69" s="145">
        <f t="shared" si="2"/>
        <v>0</v>
      </c>
      <c r="S69" s="145">
        <f t="shared" si="3"/>
        <v>0</v>
      </c>
      <c r="T69" s="97" t="s">
        <v>570</v>
      </c>
      <c r="U69" s="94"/>
      <c r="V69" s="97"/>
      <c r="W69" s="97"/>
      <c r="X69" s="97"/>
      <c r="Y69" s="146">
        <f t="shared" si="4"/>
        <v>0</v>
      </c>
      <c r="Z69" s="147">
        <f t="shared" si="5"/>
        <v>0</v>
      </c>
      <c r="AA69" s="147">
        <f t="shared" si="6"/>
        <v>0</v>
      </c>
      <c r="AB69" s="146">
        <f t="shared" si="7"/>
        <v>21.25</v>
      </c>
      <c r="AC69" s="146">
        <f t="shared" si="8"/>
        <v>0</v>
      </c>
      <c r="AD69" s="148">
        <f t="shared" si="9"/>
        <v>0</v>
      </c>
      <c r="AE69" s="148">
        <f t="shared" si="10"/>
        <v>0</v>
      </c>
      <c r="AF69" s="148">
        <f t="shared" si="11"/>
        <v>0</v>
      </c>
      <c r="AG69" s="149">
        <f t="shared" si="12"/>
        <v>0</v>
      </c>
      <c r="AH69" s="149">
        <f t="shared" si="13"/>
        <v>0</v>
      </c>
      <c r="AI69" s="383">
        <f t="shared" si="14"/>
        <v>0</v>
      </c>
      <c r="AJ69" s="149">
        <f t="shared" si="15"/>
        <v>0</v>
      </c>
    </row>
    <row r="70" spans="1:36" s="64" customFormat="1" x14ac:dyDescent="0.25">
      <c r="A70" s="94" t="e">
        <f>IF(UC_DADOS!$B$2=0,"",UC_DADOS!$B$2)</f>
        <v>#N/A</v>
      </c>
      <c r="B70" s="100"/>
      <c r="C70" s="100"/>
      <c r="D70" s="96"/>
      <c r="E70" s="96"/>
      <c r="F70" s="94"/>
      <c r="G70" s="97"/>
      <c r="H70" s="95"/>
      <c r="I70" s="97"/>
      <c r="J70" s="145">
        <f t="shared" si="0"/>
        <v>0</v>
      </c>
      <c r="K70" s="298"/>
      <c r="L70" s="299">
        <f t="shared" si="33"/>
        <v>0</v>
      </c>
      <c r="M70" s="97"/>
      <c r="N70" s="95"/>
      <c r="O70" s="95">
        <v>21.25</v>
      </c>
      <c r="P70" s="101"/>
      <c r="Q70" s="145">
        <f t="shared" si="1"/>
        <v>0</v>
      </c>
      <c r="R70" s="145">
        <f t="shared" si="2"/>
        <v>0</v>
      </c>
      <c r="S70" s="145">
        <f t="shared" si="3"/>
        <v>0</v>
      </c>
      <c r="T70" s="97" t="s">
        <v>570</v>
      </c>
      <c r="U70" s="94"/>
      <c r="V70" s="97"/>
      <c r="W70" s="97"/>
      <c r="X70" s="97"/>
      <c r="Y70" s="146">
        <f t="shared" si="4"/>
        <v>0</v>
      </c>
      <c r="Z70" s="147">
        <f t="shared" si="5"/>
        <v>0</v>
      </c>
      <c r="AA70" s="147">
        <f t="shared" si="6"/>
        <v>0</v>
      </c>
      <c r="AB70" s="146">
        <f t="shared" si="7"/>
        <v>21.25</v>
      </c>
      <c r="AC70" s="146">
        <f t="shared" si="8"/>
        <v>0</v>
      </c>
      <c r="AD70" s="148">
        <f t="shared" si="9"/>
        <v>0</v>
      </c>
      <c r="AE70" s="148">
        <f t="shared" si="10"/>
        <v>0</v>
      </c>
      <c r="AF70" s="148">
        <f t="shared" si="11"/>
        <v>0</v>
      </c>
      <c r="AG70" s="149">
        <f t="shared" si="12"/>
        <v>0</v>
      </c>
      <c r="AH70" s="149">
        <f t="shared" si="13"/>
        <v>0</v>
      </c>
      <c r="AI70" s="383">
        <f t="shared" si="14"/>
        <v>0</v>
      </c>
      <c r="AJ70" s="149">
        <f t="shared" si="15"/>
        <v>0</v>
      </c>
    </row>
    <row r="71" spans="1:36" s="64" customFormat="1" x14ac:dyDescent="0.25">
      <c r="A71" s="94" t="e">
        <f>IF(UC_DADOS!$B$2=0,"",UC_DADOS!$B$2)</f>
        <v>#N/A</v>
      </c>
      <c r="B71" s="100"/>
      <c r="C71" s="100"/>
      <c r="D71" s="96"/>
      <c r="E71" s="96"/>
      <c r="F71" s="94"/>
      <c r="G71" s="97"/>
      <c r="H71" s="95"/>
      <c r="I71" s="97"/>
      <c r="J71" s="145">
        <f t="shared" si="0"/>
        <v>0</v>
      </c>
      <c r="K71" s="298"/>
      <c r="L71" s="299">
        <f t="shared" si="33"/>
        <v>0</v>
      </c>
      <c r="M71" s="97"/>
      <c r="N71" s="95"/>
      <c r="O71" s="95">
        <v>21.25</v>
      </c>
      <c r="P71" s="101"/>
      <c r="Q71" s="145">
        <f t="shared" si="1"/>
        <v>0</v>
      </c>
      <c r="R71" s="145">
        <f t="shared" si="2"/>
        <v>0</v>
      </c>
      <c r="S71" s="145">
        <f t="shared" si="3"/>
        <v>0</v>
      </c>
      <c r="T71" s="97" t="s">
        <v>570</v>
      </c>
      <c r="U71" s="94"/>
      <c r="V71" s="97"/>
      <c r="W71" s="97"/>
      <c r="X71" s="97"/>
      <c r="Y71" s="146">
        <f t="shared" si="4"/>
        <v>0</v>
      </c>
      <c r="Z71" s="147">
        <f t="shared" si="5"/>
        <v>0</v>
      </c>
      <c r="AA71" s="147">
        <f t="shared" si="6"/>
        <v>0</v>
      </c>
      <c r="AB71" s="146">
        <f t="shared" si="7"/>
        <v>21.25</v>
      </c>
      <c r="AC71" s="146">
        <f t="shared" si="8"/>
        <v>0</v>
      </c>
      <c r="AD71" s="148">
        <f t="shared" si="9"/>
        <v>0</v>
      </c>
      <c r="AE71" s="148">
        <f t="shared" si="10"/>
        <v>0</v>
      </c>
      <c r="AF71" s="148">
        <f t="shared" si="11"/>
        <v>0</v>
      </c>
      <c r="AG71" s="149">
        <f t="shared" si="12"/>
        <v>0</v>
      </c>
      <c r="AH71" s="149">
        <f t="shared" si="13"/>
        <v>0</v>
      </c>
      <c r="AI71" s="383">
        <f t="shared" si="14"/>
        <v>0</v>
      </c>
      <c r="AJ71" s="149">
        <f t="shared" si="15"/>
        <v>0</v>
      </c>
    </row>
    <row r="72" spans="1:36" s="64" customFormat="1" x14ac:dyDescent="0.25">
      <c r="A72" s="94" t="e">
        <f>IF(UC_DADOS!$B$2=0,"",UC_DADOS!$B$2)</f>
        <v>#N/A</v>
      </c>
      <c r="B72" s="100"/>
      <c r="C72" s="100"/>
      <c r="D72" s="96"/>
      <c r="E72" s="96"/>
      <c r="F72" s="94"/>
      <c r="G72" s="97"/>
      <c r="H72" s="95"/>
      <c r="I72" s="97"/>
      <c r="J72" s="145">
        <f t="shared" si="0"/>
        <v>0</v>
      </c>
      <c r="K72" s="298"/>
      <c r="L72" s="299">
        <f t="shared" si="33"/>
        <v>0</v>
      </c>
      <c r="M72" s="97"/>
      <c r="N72" s="95"/>
      <c r="O72" s="95">
        <v>21.25</v>
      </c>
      <c r="P72" s="101"/>
      <c r="Q72" s="145">
        <f t="shared" si="1"/>
        <v>0</v>
      </c>
      <c r="R72" s="145">
        <f t="shared" si="2"/>
        <v>0</v>
      </c>
      <c r="S72" s="145">
        <f t="shared" si="3"/>
        <v>0</v>
      </c>
      <c r="T72" s="97" t="s">
        <v>570</v>
      </c>
      <c r="U72" s="94"/>
      <c r="V72" s="97"/>
      <c r="W72" s="97"/>
      <c r="X72" s="97"/>
      <c r="Y72" s="146">
        <f t="shared" si="4"/>
        <v>0</v>
      </c>
      <c r="Z72" s="147">
        <f t="shared" si="5"/>
        <v>0</v>
      </c>
      <c r="AA72" s="147">
        <f t="shared" si="6"/>
        <v>0</v>
      </c>
      <c r="AB72" s="146">
        <f t="shared" si="7"/>
        <v>21.25</v>
      </c>
      <c r="AC72" s="146">
        <f t="shared" si="8"/>
        <v>0</v>
      </c>
      <c r="AD72" s="148">
        <f t="shared" si="9"/>
        <v>0</v>
      </c>
      <c r="AE72" s="148">
        <f t="shared" si="10"/>
        <v>0</v>
      </c>
      <c r="AF72" s="148">
        <f t="shared" si="11"/>
        <v>0</v>
      </c>
      <c r="AG72" s="149">
        <f t="shared" si="12"/>
        <v>0</v>
      </c>
      <c r="AH72" s="149">
        <f t="shared" si="13"/>
        <v>0</v>
      </c>
      <c r="AI72" s="383">
        <f t="shared" si="14"/>
        <v>0</v>
      </c>
      <c r="AJ72" s="149">
        <f t="shared" si="15"/>
        <v>0</v>
      </c>
    </row>
    <row r="73" spans="1:36" s="64" customFormat="1" x14ac:dyDescent="0.25">
      <c r="A73" s="94" t="e">
        <f>IF(UC_DADOS!$B$2=0,"",UC_DADOS!$B$2)</f>
        <v>#N/A</v>
      </c>
      <c r="B73" s="100"/>
      <c r="C73" s="100"/>
      <c r="D73" s="96"/>
      <c r="E73" s="96"/>
      <c r="F73" s="94"/>
      <c r="G73" s="97"/>
      <c r="H73" s="95"/>
      <c r="I73" s="97"/>
      <c r="J73" s="145">
        <f t="shared" si="0"/>
        <v>0</v>
      </c>
      <c r="K73" s="298"/>
      <c r="L73" s="299">
        <f t="shared" si="33"/>
        <v>0</v>
      </c>
      <c r="M73" s="97"/>
      <c r="N73" s="95"/>
      <c r="O73" s="95">
        <v>21.25</v>
      </c>
      <c r="P73" s="101"/>
      <c r="Q73" s="145">
        <f t="shared" si="1"/>
        <v>0</v>
      </c>
      <c r="R73" s="145">
        <f t="shared" si="2"/>
        <v>0</v>
      </c>
      <c r="S73" s="145">
        <f t="shared" si="3"/>
        <v>0</v>
      </c>
      <c r="T73" s="97" t="s">
        <v>570</v>
      </c>
      <c r="U73" s="94"/>
      <c r="V73" s="97"/>
      <c r="W73" s="97"/>
      <c r="X73" s="97"/>
      <c r="Y73" s="146">
        <f t="shared" si="4"/>
        <v>0</v>
      </c>
      <c r="Z73" s="147">
        <f t="shared" si="5"/>
        <v>0</v>
      </c>
      <c r="AA73" s="147">
        <f t="shared" si="6"/>
        <v>0</v>
      </c>
      <c r="AB73" s="146">
        <f t="shared" si="7"/>
        <v>21.25</v>
      </c>
      <c r="AC73" s="146">
        <f t="shared" si="8"/>
        <v>0</v>
      </c>
      <c r="AD73" s="148">
        <f t="shared" si="9"/>
        <v>0</v>
      </c>
      <c r="AE73" s="148">
        <f t="shared" si="10"/>
        <v>0</v>
      </c>
      <c r="AF73" s="148">
        <f t="shared" si="11"/>
        <v>0</v>
      </c>
      <c r="AG73" s="149">
        <f t="shared" si="12"/>
        <v>0</v>
      </c>
      <c r="AH73" s="149">
        <f t="shared" si="13"/>
        <v>0</v>
      </c>
      <c r="AI73" s="383">
        <f t="shared" si="14"/>
        <v>0</v>
      </c>
      <c r="AJ73" s="149">
        <f t="shared" si="15"/>
        <v>0</v>
      </c>
    </row>
    <row r="74" spans="1:36" s="64" customFormat="1" x14ac:dyDescent="0.25">
      <c r="A74" s="94" t="e">
        <f>IF(UC_DADOS!$B$2=0,"",UC_DADOS!$B$2)</f>
        <v>#N/A</v>
      </c>
      <c r="B74" s="100"/>
      <c r="C74" s="100"/>
      <c r="D74" s="96"/>
      <c r="E74" s="96"/>
      <c r="F74" s="150"/>
      <c r="G74" s="97"/>
      <c r="H74" s="95"/>
      <c r="I74" s="97"/>
      <c r="J74" s="145">
        <f t="shared" si="0"/>
        <v>0</v>
      </c>
      <c r="K74" s="298"/>
      <c r="L74" s="299">
        <f t="shared" si="33"/>
        <v>0</v>
      </c>
      <c r="M74" s="97"/>
      <c r="N74" s="95"/>
      <c r="O74" s="95">
        <v>21.25</v>
      </c>
      <c r="P74" s="101"/>
      <c r="Q74" s="145">
        <f t="shared" si="1"/>
        <v>0</v>
      </c>
      <c r="R74" s="145">
        <f t="shared" si="2"/>
        <v>0</v>
      </c>
      <c r="S74" s="145">
        <f t="shared" si="3"/>
        <v>0</v>
      </c>
      <c r="T74" s="97" t="s">
        <v>570</v>
      </c>
      <c r="U74" s="97"/>
      <c r="V74" s="97"/>
      <c r="W74" s="97"/>
      <c r="X74" s="97"/>
      <c r="Y74" s="146">
        <f t="shared" si="4"/>
        <v>0</v>
      </c>
      <c r="Z74" s="147">
        <f t="shared" si="5"/>
        <v>0</v>
      </c>
      <c r="AA74" s="147">
        <f t="shared" si="6"/>
        <v>0</v>
      </c>
      <c r="AB74" s="146">
        <f t="shared" si="7"/>
        <v>21.25</v>
      </c>
      <c r="AC74" s="146">
        <f t="shared" si="8"/>
        <v>0</v>
      </c>
      <c r="AD74" s="148">
        <f t="shared" si="9"/>
        <v>0</v>
      </c>
      <c r="AE74" s="148">
        <f t="shared" si="10"/>
        <v>0</v>
      </c>
      <c r="AF74" s="148">
        <f t="shared" si="11"/>
        <v>0</v>
      </c>
      <c r="AG74" s="149">
        <f t="shared" si="12"/>
        <v>0</v>
      </c>
      <c r="AH74" s="149">
        <f t="shared" si="13"/>
        <v>0</v>
      </c>
      <c r="AI74" s="383">
        <f t="shared" si="14"/>
        <v>0</v>
      </c>
      <c r="AJ74" s="149">
        <f t="shared" si="15"/>
        <v>0</v>
      </c>
    </row>
    <row r="75" spans="1:36" s="64" customFormat="1" x14ac:dyDescent="0.25">
      <c r="A75" s="94" t="e">
        <f>IF(UC_DADOS!$B$2=0,"",UC_DADOS!$B$2)</f>
        <v>#N/A</v>
      </c>
      <c r="B75" s="100"/>
      <c r="C75" s="100"/>
      <c r="D75" s="96"/>
      <c r="E75" s="96"/>
      <c r="F75" s="94"/>
      <c r="G75" s="94"/>
      <c r="H75" s="95"/>
      <c r="I75" s="97"/>
      <c r="J75" s="145">
        <f t="shared" si="0"/>
        <v>0</v>
      </c>
      <c r="K75" s="298"/>
      <c r="L75" s="299">
        <f t="shared" si="33"/>
        <v>0</v>
      </c>
      <c r="M75" s="97"/>
      <c r="N75" s="95"/>
      <c r="O75" s="95">
        <v>21.25</v>
      </c>
      <c r="P75" s="101"/>
      <c r="Q75" s="145">
        <f t="shared" si="1"/>
        <v>0</v>
      </c>
      <c r="R75" s="145">
        <f t="shared" si="2"/>
        <v>0</v>
      </c>
      <c r="S75" s="145">
        <f t="shared" si="3"/>
        <v>0</v>
      </c>
      <c r="T75" s="97" t="s">
        <v>570</v>
      </c>
      <c r="U75" s="94"/>
      <c r="V75" s="94"/>
      <c r="W75" s="97"/>
      <c r="X75" s="97"/>
      <c r="Y75" s="146">
        <f t="shared" si="4"/>
        <v>0</v>
      </c>
      <c r="Z75" s="147">
        <f t="shared" si="5"/>
        <v>0</v>
      </c>
      <c r="AA75" s="147">
        <f t="shared" si="6"/>
        <v>0</v>
      </c>
      <c r="AB75" s="146">
        <f t="shared" si="7"/>
        <v>21.25</v>
      </c>
      <c r="AC75" s="146">
        <f t="shared" si="8"/>
        <v>0</v>
      </c>
      <c r="AD75" s="148">
        <f t="shared" si="9"/>
        <v>0</v>
      </c>
      <c r="AE75" s="148">
        <f t="shared" si="10"/>
        <v>0</v>
      </c>
      <c r="AF75" s="148">
        <f t="shared" si="11"/>
        <v>0</v>
      </c>
      <c r="AG75" s="149">
        <f t="shared" si="12"/>
        <v>0</v>
      </c>
      <c r="AH75" s="149">
        <f t="shared" si="13"/>
        <v>0</v>
      </c>
      <c r="AI75" s="383">
        <f t="shared" si="14"/>
        <v>0</v>
      </c>
      <c r="AJ75" s="149">
        <f t="shared" si="15"/>
        <v>0</v>
      </c>
    </row>
    <row r="76" spans="1:36" s="64" customFormat="1" x14ac:dyDescent="0.25">
      <c r="A76" s="94" t="e">
        <f>IF(UC_DADOS!$B$2=0,"",UC_DADOS!$B$2)</f>
        <v>#N/A</v>
      </c>
      <c r="B76" s="100"/>
      <c r="C76" s="100"/>
      <c r="D76" s="96"/>
      <c r="E76" s="96"/>
      <c r="F76" s="94"/>
      <c r="G76" s="94"/>
      <c r="H76" s="95"/>
      <c r="I76" s="97"/>
      <c r="J76" s="145">
        <f t="shared" si="0"/>
        <v>0</v>
      </c>
      <c r="K76" s="298"/>
      <c r="L76" s="299">
        <f t="shared" si="33"/>
        <v>0</v>
      </c>
      <c r="M76" s="97"/>
      <c r="N76" s="95"/>
      <c r="O76" s="95">
        <v>21.25</v>
      </c>
      <c r="P76" s="101"/>
      <c r="Q76" s="145">
        <f t="shared" si="1"/>
        <v>0</v>
      </c>
      <c r="R76" s="145">
        <f t="shared" si="2"/>
        <v>0</v>
      </c>
      <c r="S76" s="145">
        <f t="shared" si="3"/>
        <v>0</v>
      </c>
      <c r="T76" s="97" t="s">
        <v>570</v>
      </c>
      <c r="U76" s="94"/>
      <c r="V76" s="94"/>
      <c r="W76" s="97"/>
      <c r="X76" s="97"/>
      <c r="Y76" s="146">
        <f t="shared" si="4"/>
        <v>0</v>
      </c>
      <c r="Z76" s="147">
        <f t="shared" si="5"/>
        <v>0</v>
      </c>
      <c r="AA76" s="147">
        <f t="shared" si="6"/>
        <v>0</v>
      </c>
      <c r="AB76" s="146">
        <f t="shared" si="7"/>
        <v>21.25</v>
      </c>
      <c r="AC76" s="146">
        <f t="shared" si="8"/>
        <v>0</v>
      </c>
      <c r="AD76" s="148">
        <f t="shared" si="9"/>
        <v>0</v>
      </c>
      <c r="AE76" s="148">
        <f t="shared" si="10"/>
        <v>0</v>
      </c>
      <c r="AF76" s="148">
        <f t="shared" si="11"/>
        <v>0</v>
      </c>
      <c r="AG76" s="149">
        <f t="shared" si="12"/>
        <v>0</v>
      </c>
      <c r="AH76" s="149">
        <f t="shared" si="13"/>
        <v>0</v>
      </c>
      <c r="AI76" s="383">
        <f t="shared" si="14"/>
        <v>0</v>
      </c>
      <c r="AJ76" s="149">
        <f t="shared" si="15"/>
        <v>0</v>
      </c>
    </row>
    <row r="77" spans="1:36" s="64" customFormat="1" x14ac:dyDescent="0.25">
      <c r="A77" s="94" t="e">
        <f>IF(UC_DADOS!$B$2=0,"",UC_DADOS!$B$2)</f>
        <v>#N/A</v>
      </c>
      <c r="B77" s="100"/>
      <c r="C77" s="100"/>
      <c r="D77" s="96"/>
      <c r="E77" s="96"/>
      <c r="F77" s="94"/>
      <c r="G77" s="94"/>
      <c r="H77" s="95"/>
      <c r="I77" s="97"/>
      <c r="J77" s="145">
        <f t="shared" si="0"/>
        <v>0</v>
      </c>
      <c r="K77" s="298"/>
      <c r="L77" s="299">
        <f t="shared" si="33"/>
        <v>0</v>
      </c>
      <c r="M77" s="97"/>
      <c r="N77" s="95"/>
      <c r="O77" s="95">
        <v>21.25</v>
      </c>
      <c r="P77" s="101"/>
      <c r="Q77" s="145">
        <f t="shared" si="1"/>
        <v>0</v>
      </c>
      <c r="R77" s="145">
        <f t="shared" si="2"/>
        <v>0</v>
      </c>
      <c r="S77" s="145">
        <f t="shared" si="3"/>
        <v>0</v>
      </c>
      <c r="T77" s="97" t="s">
        <v>570</v>
      </c>
      <c r="U77" s="94"/>
      <c r="V77" s="94"/>
      <c r="W77" s="97"/>
      <c r="X77" s="97"/>
      <c r="Y77" s="146">
        <f t="shared" si="4"/>
        <v>0</v>
      </c>
      <c r="Z77" s="147">
        <f t="shared" si="5"/>
        <v>0</v>
      </c>
      <c r="AA77" s="147">
        <f t="shared" si="6"/>
        <v>0</v>
      </c>
      <c r="AB77" s="146">
        <f t="shared" si="7"/>
        <v>21.25</v>
      </c>
      <c r="AC77" s="146">
        <f t="shared" si="8"/>
        <v>0</v>
      </c>
      <c r="AD77" s="148">
        <f t="shared" si="9"/>
        <v>0</v>
      </c>
      <c r="AE77" s="148">
        <f t="shared" si="10"/>
        <v>0</v>
      </c>
      <c r="AF77" s="148">
        <f t="shared" si="11"/>
        <v>0</v>
      </c>
      <c r="AG77" s="149">
        <f t="shared" si="12"/>
        <v>0</v>
      </c>
      <c r="AH77" s="149">
        <f t="shared" si="13"/>
        <v>0</v>
      </c>
      <c r="AI77" s="383">
        <f t="shared" si="14"/>
        <v>0</v>
      </c>
      <c r="AJ77" s="149">
        <f t="shared" si="15"/>
        <v>0</v>
      </c>
    </row>
    <row r="78" spans="1:36" s="64" customFormat="1" x14ac:dyDescent="0.25">
      <c r="A78" s="94" t="e">
        <f>IF(UC_DADOS!$B$2=0,"",UC_DADOS!$B$2)</f>
        <v>#N/A</v>
      </c>
      <c r="B78" s="100"/>
      <c r="C78" s="100"/>
      <c r="D78" s="96"/>
      <c r="E78" s="96"/>
      <c r="F78" s="94"/>
      <c r="G78" s="97"/>
      <c r="H78" s="95"/>
      <c r="I78" s="97"/>
      <c r="J78" s="145">
        <f t="shared" si="0"/>
        <v>0</v>
      </c>
      <c r="K78" s="298"/>
      <c r="L78" s="299">
        <f t="shared" si="33"/>
        <v>0</v>
      </c>
      <c r="M78" s="97"/>
      <c r="N78" s="95"/>
      <c r="O78" s="95">
        <v>21.25</v>
      </c>
      <c r="P78" s="101"/>
      <c r="Q78" s="145">
        <f t="shared" si="1"/>
        <v>0</v>
      </c>
      <c r="R78" s="145">
        <f t="shared" si="2"/>
        <v>0</v>
      </c>
      <c r="S78" s="145">
        <f t="shared" si="3"/>
        <v>0</v>
      </c>
      <c r="T78" s="97" t="s">
        <v>570</v>
      </c>
      <c r="U78" s="94"/>
      <c r="V78" s="97"/>
      <c r="W78" s="97"/>
      <c r="X78" s="97"/>
      <c r="Y78" s="146">
        <f t="shared" si="4"/>
        <v>0</v>
      </c>
      <c r="Z78" s="147">
        <f t="shared" si="5"/>
        <v>0</v>
      </c>
      <c r="AA78" s="147">
        <f t="shared" si="6"/>
        <v>0</v>
      </c>
      <c r="AB78" s="146">
        <f t="shared" si="7"/>
        <v>21.25</v>
      </c>
      <c r="AC78" s="146">
        <f t="shared" si="8"/>
        <v>0</v>
      </c>
      <c r="AD78" s="148">
        <f t="shared" si="9"/>
        <v>0</v>
      </c>
      <c r="AE78" s="148">
        <f t="shared" si="10"/>
        <v>0</v>
      </c>
      <c r="AF78" s="148">
        <f t="shared" si="11"/>
        <v>0</v>
      </c>
      <c r="AG78" s="149">
        <f t="shared" si="12"/>
        <v>0</v>
      </c>
      <c r="AH78" s="149">
        <f t="shared" si="13"/>
        <v>0</v>
      </c>
      <c r="AI78" s="383">
        <f t="shared" si="14"/>
        <v>0</v>
      </c>
      <c r="AJ78" s="149">
        <f t="shared" si="15"/>
        <v>0</v>
      </c>
    </row>
    <row r="79" spans="1:36" s="64" customFormat="1" x14ac:dyDescent="0.25">
      <c r="A79" s="94" t="e">
        <f>IF(UC_DADOS!$B$2=0,"",UC_DADOS!$B$2)</f>
        <v>#N/A</v>
      </c>
      <c r="B79" s="100"/>
      <c r="C79" s="100"/>
      <c r="D79" s="96"/>
      <c r="E79" s="96"/>
      <c r="F79" s="94"/>
      <c r="G79" s="97"/>
      <c r="H79" s="95"/>
      <c r="I79" s="97"/>
      <c r="J79" s="145">
        <f t="shared" si="0"/>
        <v>0</v>
      </c>
      <c r="K79" s="298"/>
      <c r="L79" s="299">
        <f t="shared" si="33"/>
        <v>0</v>
      </c>
      <c r="M79" s="97"/>
      <c r="N79" s="95"/>
      <c r="O79" s="95">
        <v>21.25</v>
      </c>
      <c r="P79" s="101"/>
      <c r="Q79" s="145">
        <f t="shared" si="1"/>
        <v>0</v>
      </c>
      <c r="R79" s="145">
        <f t="shared" si="2"/>
        <v>0</v>
      </c>
      <c r="S79" s="145">
        <f t="shared" si="3"/>
        <v>0</v>
      </c>
      <c r="T79" s="97" t="s">
        <v>570</v>
      </c>
      <c r="U79" s="94"/>
      <c r="V79" s="97"/>
      <c r="W79" s="97"/>
      <c r="X79" s="97"/>
      <c r="Y79" s="146">
        <f t="shared" si="4"/>
        <v>0</v>
      </c>
      <c r="Z79" s="147">
        <f t="shared" si="5"/>
        <v>0</v>
      </c>
      <c r="AA79" s="147">
        <f t="shared" si="6"/>
        <v>0</v>
      </c>
      <c r="AB79" s="146">
        <f t="shared" si="7"/>
        <v>21.25</v>
      </c>
      <c r="AC79" s="146">
        <f t="shared" si="8"/>
        <v>0</v>
      </c>
      <c r="AD79" s="148">
        <f t="shared" si="9"/>
        <v>0</v>
      </c>
      <c r="AE79" s="148">
        <f t="shared" si="10"/>
        <v>0</v>
      </c>
      <c r="AF79" s="148">
        <f t="shared" si="11"/>
        <v>0</v>
      </c>
      <c r="AG79" s="149">
        <f t="shared" si="12"/>
        <v>0</v>
      </c>
      <c r="AH79" s="149">
        <f t="shared" si="13"/>
        <v>0</v>
      </c>
      <c r="AI79" s="383">
        <f t="shared" si="14"/>
        <v>0</v>
      </c>
      <c r="AJ79" s="149">
        <f t="shared" si="15"/>
        <v>0</v>
      </c>
    </row>
    <row r="80" spans="1:36" s="64" customFormat="1" x14ac:dyDescent="0.25">
      <c r="A80" s="94" t="e">
        <f>IF(UC_DADOS!$B$2=0,"",UC_DADOS!$B$2)</f>
        <v>#N/A</v>
      </c>
      <c r="B80" s="100"/>
      <c r="C80" s="100"/>
      <c r="D80" s="96"/>
      <c r="E80" s="96"/>
      <c r="F80" s="94"/>
      <c r="G80" s="94"/>
      <c r="H80" s="95"/>
      <c r="I80" s="97"/>
      <c r="J80" s="145">
        <f t="shared" si="0"/>
        <v>0</v>
      </c>
      <c r="K80" s="298"/>
      <c r="L80" s="299">
        <f t="shared" si="33"/>
        <v>0</v>
      </c>
      <c r="M80" s="97"/>
      <c r="N80" s="95"/>
      <c r="O80" s="95">
        <v>21.25</v>
      </c>
      <c r="P80" s="101"/>
      <c r="Q80" s="145">
        <f t="shared" si="1"/>
        <v>0</v>
      </c>
      <c r="R80" s="145">
        <f t="shared" si="2"/>
        <v>0</v>
      </c>
      <c r="S80" s="145">
        <f t="shared" si="3"/>
        <v>0</v>
      </c>
      <c r="T80" s="97" t="s">
        <v>570</v>
      </c>
      <c r="U80" s="94"/>
      <c r="V80" s="94"/>
      <c r="W80" s="97"/>
      <c r="X80" s="97"/>
      <c r="Y80" s="146">
        <f t="shared" si="4"/>
        <v>0</v>
      </c>
      <c r="Z80" s="147">
        <f t="shared" si="5"/>
        <v>0</v>
      </c>
      <c r="AA80" s="147">
        <f t="shared" si="6"/>
        <v>0</v>
      </c>
      <c r="AB80" s="146">
        <f t="shared" si="7"/>
        <v>21.25</v>
      </c>
      <c r="AC80" s="146">
        <f t="shared" si="8"/>
        <v>0</v>
      </c>
      <c r="AD80" s="148">
        <f t="shared" si="9"/>
        <v>0</v>
      </c>
      <c r="AE80" s="148">
        <f t="shared" si="10"/>
        <v>0</v>
      </c>
      <c r="AF80" s="148">
        <f t="shared" si="11"/>
        <v>0</v>
      </c>
      <c r="AG80" s="149">
        <f t="shared" si="12"/>
        <v>0</v>
      </c>
      <c r="AH80" s="149">
        <f t="shared" si="13"/>
        <v>0</v>
      </c>
      <c r="AI80" s="383">
        <f t="shared" si="14"/>
        <v>0</v>
      </c>
      <c r="AJ80" s="149">
        <f t="shared" si="15"/>
        <v>0</v>
      </c>
    </row>
    <row r="81" spans="1:36" s="64" customFormat="1" x14ac:dyDescent="0.25">
      <c r="A81" s="94" t="e">
        <f>IF(UC_DADOS!$B$2=0,"",UC_DADOS!$B$2)</f>
        <v>#N/A</v>
      </c>
      <c r="B81" s="100"/>
      <c r="C81" s="100"/>
      <c r="D81" s="96"/>
      <c r="E81" s="96"/>
      <c r="F81" s="94"/>
      <c r="G81" s="94"/>
      <c r="H81" s="95"/>
      <c r="I81" s="97"/>
      <c r="J81" s="145">
        <f t="shared" si="0"/>
        <v>0</v>
      </c>
      <c r="K81" s="298"/>
      <c r="L81" s="299">
        <f t="shared" si="33"/>
        <v>0</v>
      </c>
      <c r="M81" s="97"/>
      <c r="N81" s="95"/>
      <c r="O81" s="95">
        <v>21.25</v>
      </c>
      <c r="P81" s="101"/>
      <c r="Q81" s="145">
        <f t="shared" si="1"/>
        <v>0</v>
      </c>
      <c r="R81" s="145">
        <f t="shared" si="2"/>
        <v>0</v>
      </c>
      <c r="S81" s="145">
        <f t="shared" si="3"/>
        <v>0</v>
      </c>
      <c r="T81" s="97" t="s">
        <v>570</v>
      </c>
      <c r="U81" s="94"/>
      <c r="V81" s="94"/>
      <c r="W81" s="97"/>
      <c r="X81" s="97"/>
      <c r="Y81" s="146">
        <f t="shared" si="4"/>
        <v>0</v>
      </c>
      <c r="Z81" s="147">
        <f t="shared" si="5"/>
        <v>0</v>
      </c>
      <c r="AA81" s="147">
        <f t="shared" si="6"/>
        <v>0</v>
      </c>
      <c r="AB81" s="146">
        <f t="shared" si="7"/>
        <v>21.25</v>
      </c>
      <c r="AC81" s="146">
        <f t="shared" si="8"/>
        <v>0</v>
      </c>
      <c r="AD81" s="148">
        <f t="shared" si="9"/>
        <v>0</v>
      </c>
      <c r="AE81" s="148">
        <f t="shared" si="10"/>
        <v>0</v>
      </c>
      <c r="AF81" s="148">
        <f t="shared" si="11"/>
        <v>0</v>
      </c>
      <c r="AG81" s="149">
        <f t="shared" si="12"/>
        <v>0</v>
      </c>
      <c r="AH81" s="149">
        <f t="shared" si="13"/>
        <v>0</v>
      </c>
      <c r="AI81" s="383">
        <f t="shared" si="14"/>
        <v>0</v>
      </c>
      <c r="AJ81" s="149">
        <f t="shared" si="15"/>
        <v>0</v>
      </c>
    </row>
    <row r="82" spans="1:36" s="64" customFormat="1" x14ac:dyDescent="0.25">
      <c r="A82" s="94" t="e">
        <f>IF(UC_DADOS!$B$2=0,"",UC_DADOS!$B$2)</f>
        <v>#N/A</v>
      </c>
      <c r="B82" s="100"/>
      <c r="C82" s="100"/>
      <c r="D82" s="96"/>
      <c r="E82" s="96"/>
      <c r="F82" s="94"/>
      <c r="G82" s="97"/>
      <c r="H82" s="95"/>
      <c r="I82" s="97"/>
      <c r="J82" s="145">
        <f t="shared" si="0"/>
        <v>0</v>
      </c>
      <c r="K82" s="298"/>
      <c r="L82" s="299">
        <f t="shared" si="33"/>
        <v>0</v>
      </c>
      <c r="M82" s="97"/>
      <c r="N82" s="95"/>
      <c r="O82" s="95">
        <v>21.25</v>
      </c>
      <c r="P82" s="101"/>
      <c r="Q82" s="145">
        <f t="shared" si="1"/>
        <v>0</v>
      </c>
      <c r="R82" s="145">
        <f t="shared" si="2"/>
        <v>0</v>
      </c>
      <c r="S82" s="145">
        <f t="shared" si="3"/>
        <v>0</v>
      </c>
      <c r="T82" s="97" t="s">
        <v>570</v>
      </c>
      <c r="U82" s="94"/>
      <c r="V82" s="97"/>
      <c r="W82" s="97"/>
      <c r="X82" s="97"/>
      <c r="Y82" s="146">
        <f t="shared" si="4"/>
        <v>0</v>
      </c>
      <c r="Z82" s="147">
        <f t="shared" si="5"/>
        <v>0</v>
      </c>
      <c r="AA82" s="147">
        <f t="shared" si="6"/>
        <v>0</v>
      </c>
      <c r="AB82" s="146">
        <f t="shared" si="7"/>
        <v>21.25</v>
      </c>
      <c r="AC82" s="146">
        <f t="shared" si="8"/>
        <v>0</v>
      </c>
      <c r="AD82" s="148">
        <f t="shared" si="9"/>
        <v>0</v>
      </c>
      <c r="AE82" s="148">
        <f t="shared" si="10"/>
        <v>0</v>
      </c>
      <c r="AF82" s="148">
        <f t="shared" si="11"/>
        <v>0</v>
      </c>
      <c r="AG82" s="149">
        <f t="shared" si="12"/>
        <v>0</v>
      </c>
      <c r="AH82" s="149">
        <f t="shared" si="13"/>
        <v>0</v>
      </c>
      <c r="AI82" s="383">
        <f t="shared" si="14"/>
        <v>0</v>
      </c>
      <c r="AJ82" s="149">
        <f t="shared" si="15"/>
        <v>0</v>
      </c>
    </row>
    <row r="83" spans="1:36" s="64" customFormat="1" x14ac:dyDescent="0.25">
      <c r="A83" s="94" t="e">
        <f>IF(UC_DADOS!$B$2=0,"",UC_DADOS!$B$2)</f>
        <v>#N/A</v>
      </c>
      <c r="B83" s="100"/>
      <c r="C83" s="100"/>
      <c r="D83" s="96"/>
      <c r="E83" s="96"/>
      <c r="F83" s="94"/>
      <c r="G83" s="97"/>
      <c r="H83" s="95"/>
      <c r="I83" s="97"/>
      <c r="J83" s="145">
        <f t="shared" si="0"/>
        <v>0</v>
      </c>
      <c r="K83" s="298"/>
      <c r="L83" s="299">
        <f t="shared" si="33"/>
        <v>0</v>
      </c>
      <c r="M83" s="97"/>
      <c r="N83" s="95"/>
      <c r="O83" s="95">
        <v>21.25</v>
      </c>
      <c r="P83" s="101"/>
      <c r="Q83" s="145">
        <f t="shared" si="1"/>
        <v>0</v>
      </c>
      <c r="R83" s="145">
        <f t="shared" si="2"/>
        <v>0</v>
      </c>
      <c r="S83" s="145">
        <f t="shared" si="3"/>
        <v>0</v>
      </c>
      <c r="T83" s="97" t="s">
        <v>570</v>
      </c>
      <c r="U83" s="94"/>
      <c r="V83" s="97"/>
      <c r="W83" s="97"/>
      <c r="X83" s="97"/>
      <c r="Y83" s="146">
        <f t="shared" si="4"/>
        <v>0</v>
      </c>
      <c r="Z83" s="147">
        <f t="shared" si="5"/>
        <v>0</v>
      </c>
      <c r="AA83" s="147">
        <f t="shared" si="6"/>
        <v>0</v>
      </c>
      <c r="AB83" s="146">
        <f t="shared" si="7"/>
        <v>21.25</v>
      </c>
      <c r="AC83" s="146">
        <f t="shared" si="8"/>
        <v>0</v>
      </c>
      <c r="AD83" s="148">
        <f t="shared" si="9"/>
        <v>0</v>
      </c>
      <c r="AE83" s="148">
        <f t="shared" si="10"/>
        <v>0</v>
      </c>
      <c r="AF83" s="148">
        <f t="shared" si="11"/>
        <v>0</v>
      </c>
      <c r="AG83" s="149">
        <f t="shared" si="12"/>
        <v>0</v>
      </c>
      <c r="AH83" s="149">
        <f t="shared" si="13"/>
        <v>0</v>
      </c>
      <c r="AI83" s="383">
        <f t="shared" si="14"/>
        <v>0</v>
      </c>
      <c r="AJ83" s="149">
        <f t="shared" si="15"/>
        <v>0</v>
      </c>
    </row>
    <row r="84" spans="1:36" s="64" customFormat="1" x14ac:dyDescent="0.25">
      <c r="A84" s="94" t="e">
        <f>IF(UC_DADOS!$B$2=0,"",UC_DADOS!$B$2)</f>
        <v>#N/A</v>
      </c>
      <c r="B84" s="100"/>
      <c r="C84" s="100"/>
      <c r="D84" s="96"/>
      <c r="E84" s="96"/>
      <c r="F84" s="94"/>
      <c r="G84" s="94"/>
      <c r="H84" s="95"/>
      <c r="I84" s="97"/>
      <c r="J84" s="145">
        <f t="shared" si="0"/>
        <v>0</v>
      </c>
      <c r="K84" s="298"/>
      <c r="L84" s="299">
        <f t="shared" si="33"/>
        <v>0</v>
      </c>
      <c r="M84" s="97"/>
      <c r="N84" s="95"/>
      <c r="O84" s="95">
        <v>21.25</v>
      </c>
      <c r="P84" s="101"/>
      <c r="Q84" s="145">
        <f t="shared" si="1"/>
        <v>0</v>
      </c>
      <c r="R84" s="145">
        <f t="shared" si="2"/>
        <v>0</v>
      </c>
      <c r="S84" s="145">
        <f t="shared" si="3"/>
        <v>0</v>
      </c>
      <c r="T84" s="97" t="s">
        <v>570</v>
      </c>
      <c r="U84" s="94"/>
      <c r="V84" s="94"/>
      <c r="W84" s="97"/>
      <c r="X84" s="97"/>
      <c r="Y84" s="146">
        <f t="shared" si="4"/>
        <v>0</v>
      </c>
      <c r="Z84" s="147">
        <f t="shared" si="5"/>
        <v>0</v>
      </c>
      <c r="AA84" s="147">
        <f t="shared" si="6"/>
        <v>0</v>
      </c>
      <c r="AB84" s="146">
        <f t="shared" si="7"/>
        <v>21.25</v>
      </c>
      <c r="AC84" s="146">
        <f t="shared" si="8"/>
        <v>0</v>
      </c>
      <c r="AD84" s="148">
        <f t="shared" si="9"/>
        <v>0</v>
      </c>
      <c r="AE84" s="148">
        <f t="shared" si="10"/>
        <v>0</v>
      </c>
      <c r="AF84" s="148">
        <f t="shared" si="11"/>
        <v>0</v>
      </c>
      <c r="AG84" s="149">
        <f t="shared" si="12"/>
        <v>0</v>
      </c>
      <c r="AH84" s="149">
        <f t="shared" si="13"/>
        <v>0</v>
      </c>
      <c r="AI84" s="383">
        <f t="shared" si="14"/>
        <v>0</v>
      </c>
      <c r="AJ84" s="149">
        <f t="shared" si="15"/>
        <v>0</v>
      </c>
    </row>
    <row r="85" spans="1:36" s="64" customFormat="1" x14ac:dyDescent="0.25">
      <c r="A85" s="94" t="e">
        <f>IF(UC_DADOS!$B$2=0,"",UC_DADOS!$B$2)</f>
        <v>#N/A</v>
      </c>
      <c r="B85" s="100"/>
      <c r="C85" s="100"/>
      <c r="D85" s="96"/>
      <c r="E85" s="96"/>
      <c r="F85" s="94"/>
      <c r="G85" s="94"/>
      <c r="H85" s="95"/>
      <c r="I85" s="97"/>
      <c r="J85" s="145">
        <f t="shared" si="0"/>
        <v>0</v>
      </c>
      <c r="K85" s="298"/>
      <c r="L85" s="299">
        <f t="shared" si="33"/>
        <v>0</v>
      </c>
      <c r="M85" s="97"/>
      <c r="N85" s="95"/>
      <c r="O85" s="95">
        <v>21.25</v>
      </c>
      <c r="P85" s="101"/>
      <c r="Q85" s="145">
        <f t="shared" si="1"/>
        <v>0</v>
      </c>
      <c r="R85" s="145">
        <f t="shared" si="2"/>
        <v>0</v>
      </c>
      <c r="S85" s="145">
        <f t="shared" si="3"/>
        <v>0</v>
      </c>
      <c r="T85" s="97" t="s">
        <v>570</v>
      </c>
      <c r="U85" s="94"/>
      <c r="V85" s="94"/>
      <c r="W85" s="97"/>
      <c r="X85" s="97"/>
      <c r="Y85" s="146">
        <f t="shared" si="4"/>
        <v>0</v>
      </c>
      <c r="Z85" s="147">
        <f t="shared" si="5"/>
        <v>0</v>
      </c>
      <c r="AA85" s="147">
        <f t="shared" si="6"/>
        <v>0</v>
      </c>
      <c r="AB85" s="146">
        <f t="shared" si="7"/>
        <v>21.25</v>
      </c>
      <c r="AC85" s="146">
        <f t="shared" si="8"/>
        <v>0</v>
      </c>
      <c r="AD85" s="148">
        <f t="shared" si="9"/>
        <v>0</v>
      </c>
      <c r="AE85" s="148">
        <f t="shared" si="10"/>
        <v>0</v>
      </c>
      <c r="AF85" s="148">
        <f t="shared" si="11"/>
        <v>0</v>
      </c>
      <c r="AG85" s="149">
        <f t="shared" si="12"/>
        <v>0</v>
      </c>
      <c r="AH85" s="149">
        <f t="shared" si="13"/>
        <v>0</v>
      </c>
      <c r="AI85" s="383">
        <f t="shared" si="14"/>
        <v>0</v>
      </c>
      <c r="AJ85" s="149">
        <f t="shared" si="15"/>
        <v>0</v>
      </c>
    </row>
    <row r="86" spans="1:36" s="64" customFormat="1" x14ac:dyDescent="0.25">
      <c r="A86" s="94" t="e">
        <f>IF(UC_DADOS!$B$2=0,"",UC_DADOS!$B$2)</f>
        <v>#N/A</v>
      </c>
      <c r="B86" s="100"/>
      <c r="C86" s="100"/>
      <c r="D86" s="96"/>
      <c r="E86" s="96"/>
      <c r="F86" s="94"/>
      <c r="G86" s="97"/>
      <c r="H86" s="95"/>
      <c r="I86" s="97"/>
      <c r="J86" s="145">
        <f t="shared" si="0"/>
        <v>0</v>
      </c>
      <c r="K86" s="298"/>
      <c r="L86" s="299">
        <f t="shared" si="33"/>
        <v>0</v>
      </c>
      <c r="M86" s="97"/>
      <c r="N86" s="95"/>
      <c r="O86" s="95">
        <v>21.25</v>
      </c>
      <c r="P86" s="101"/>
      <c r="Q86" s="145">
        <f t="shared" si="1"/>
        <v>0</v>
      </c>
      <c r="R86" s="145">
        <f t="shared" si="2"/>
        <v>0</v>
      </c>
      <c r="S86" s="145">
        <f t="shared" si="3"/>
        <v>0</v>
      </c>
      <c r="T86" s="97" t="s">
        <v>570</v>
      </c>
      <c r="U86" s="94"/>
      <c r="V86" s="97"/>
      <c r="W86" s="97"/>
      <c r="X86" s="97"/>
      <c r="Y86" s="146">
        <f t="shared" si="4"/>
        <v>0</v>
      </c>
      <c r="Z86" s="147">
        <f t="shared" si="5"/>
        <v>0</v>
      </c>
      <c r="AA86" s="147">
        <f t="shared" si="6"/>
        <v>0</v>
      </c>
      <c r="AB86" s="146">
        <f t="shared" si="7"/>
        <v>21.25</v>
      </c>
      <c r="AC86" s="146">
        <f t="shared" si="8"/>
        <v>0</v>
      </c>
      <c r="AD86" s="148">
        <f t="shared" si="9"/>
        <v>0</v>
      </c>
      <c r="AE86" s="148">
        <f t="shared" si="10"/>
        <v>0</v>
      </c>
      <c r="AF86" s="148">
        <f t="shared" si="11"/>
        <v>0</v>
      </c>
      <c r="AG86" s="149">
        <f t="shared" si="12"/>
        <v>0</v>
      </c>
      <c r="AH86" s="149">
        <f t="shared" si="13"/>
        <v>0</v>
      </c>
      <c r="AI86" s="383">
        <f t="shared" si="14"/>
        <v>0</v>
      </c>
      <c r="AJ86" s="149">
        <f t="shared" si="15"/>
        <v>0</v>
      </c>
    </row>
    <row r="87" spans="1:36" s="64" customFormat="1" x14ac:dyDescent="0.25">
      <c r="A87" s="94" t="e">
        <f>IF(UC_DADOS!$B$2=0,"",UC_DADOS!$B$2)</f>
        <v>#N/A</v>
      </c>
      <c r="B87" s="100"/>
      <c r="C87" s="100"/>
      <c r="D87" s="96"/>
      <c r="E87" s="96"/>
      <c r="F87" s="94"/>
      <c r="G87" s="97"/>
      <c r="H87" s="95"/>
      <c r="I87" s="97"/>
      <c r="J87" s="145">
        <f t="shared" si="0"/>
        <v>0</v>
      </c>
      <c r="K87" s="298"/>
      <c r="L87" s="299">
        <f t="shared" si="33"/>
        <v>0</v>
      </c>
      <c r="M87" s="97"/>
      <c r="N87" s="95"/>
      <c r="O87" s="95">
        <v>21.25</v>
      </c>
      <c r="P87" s="101"/>
      <c r="Q87" s="145">
        <f t="shared" si="1"/>
        <v>0</v>
      </c>
      <c r="R87" s="145">
        <f t="shared" si="2"/>
        <v>0</v>
      </c>
      <c r="S87" s="145">
        <f t="shared" si="3"/>
        <v>0</v>
      </c>
      <c r="T87" s="97" t="s">
        <v>570</v>
      </c>
      <c r="U87" s="94"/>
      <c r="V87" s="97"/>
      <c r="W87" s="97"/>
      <c r="X87" s="97"/>
      <c r="Y87" s="146">
        <f t="shared" si="4"/>
        <v>0</v>
      </c>
      <c r="Z87" s="147">
        <f t="shared" si="5"/>
        <v>0</v>
      </c>
      <c r="AA87" s="147">
        <f t="shared" si="6"/>
        <v>0</v>
      </c>
      <c r="AB87" s="146">
        <f t="shared" si="7"/>
        <v>21.25</v>
      </c>
      <c r="AC87" s="146">
        <f t="shared" si="8"/>
        <v>0</v>
      </c>
      <c r="AD87" s="148">
        <f t="shared" si="9"/>
        <v>0</v>
      </c>
      <c r="AE87" s="148">
        <f t="shared" si="10"/>
        <v>0</v>
      </c>
      <c r="AF87" s="148">
        <f t="shared" si="11"/>
        <v>0</v>
      </c>
      <c r="AG87" s="149">
        <f t="shared" si="12"/>
        <v>0</v>
      </c>
      <c r="AH87" s="149">
        <f t="shared" si="13"/>
        <v>0</v>
      </c>
      <c r="AI87" s="383">
        <f t="shared" si="14"/>
        <v>0</v>
      </c>
      <c r="AJ87" s="149">
        <f t="shared" si="15"/>
        <v>0</v>
      </c>
    </row>
    <row r="88" spans="1:36" s="64" customFormat="1" x14ac:dyDescent="0.25">
      <c r="A88" s="94" t="e">
        <f>IF(UC_DADOS!$B$2=0,"",UC_DADOS!$B$2)</f>
        <v>#N/A</v>
      </c>
      <c r="B88" s="100"/>
      <c r="C88" s="100"/>
      <c r="D88" s="102"/>
      <c r="E88" s="96"/>
      <c r="F88" s="94"/>
      <c r="G88" s="97"/>
      <c r="H88" s="95"/>
      <c r="I88" s="97"/>
      <c r="J88" s="145">
        <f t="shared" si="0"/>
        <v>0</v>
      </c>
      <c r="K88" s="298"/>
      <c r="L88" s="299">
        <f t="shared" si="33"/>
        <v>0</v>
      </c>
      <c r="M88" s="97"/>
      <c r="N88" s="95"/>
      <c r="O88" s="95">
        <v>21.25</v>
      </c>
      <c r="P88" s="101"/>
      <c r="Q88" s="145">
        <f t="shared" si="1"/>
        <v>0</v>
      </c>
      <c r="R88" s="145">
        <f t="shared" si="2"/>
        <v>0</v>
      </c>
      <c r="S88" s="145">
        <f t="shared" si="3"/>
        <v>0</v>
      </c>
      <c r="T88" s="97" t="s">
        <v>570</v>
      </c>
      <c r="U88" s="94"/>
      <c r="V88" s="97"/>
      <c r="W88" s="97"/>
      <c r="X88" s="97"/>
      <c r="Y88" s="146">
        <f t="shared" si="4"/>
        <v>0</v>
      </c>
      <c r="Z88" s="147">
        <f t="shared" si="5"/>
        <v>0</v>
      </c>
      <c r="AA88" s="147">
        <f t="shared" si="6"/>
        <v>0</v>
      </c>
      <c r="AB88" s="146">
        <f t="shared" si="7"/>
        <v>21.25</v>
      </c>
      <c r="AC88" s="146">
        <f t="shared" si="8"/>
        <v>0</v>
      </c>
      <c r="AD88" s="148">
        <f t="shared" si="9"/>
        <v>0</v>
      </c>
      <c r="AE88" s="148">
        <f t="shared" si="10"/>
        <v>0</v>
      </c>
      <c r="AF88" s="148">
        <f t="shared" si="11"/>
        <v>0</v>
      </c>
      <c r="AG88" s="149">
        <f t="shared" si="12"/>
        <v>0</v>
      </c>
      <c r="AH88" s="149">
        <f t="shared" si="13"/>
        <v>0</v>
      </c>
      <c r="AI88" s="383">
        <f t="shared" si="14"/>
        <v>0</v>
      </c>
      <c r="AJ88" s="149">
        <f t="shared" si="15"/>
        <v>0</v>
      </c>
    </row>
    <row r="89" spans="1:36" s="64" customFormat="1" x14ac:dyDescent="0.25">
      <c r="A89" s="94" t="e">
        <f>IF(UC_DADOS!$B$2=0,"",UC_DADOS!$B$2)</f>
        <v>#N/A</v>
      </c>
      <c r="B89" s="100"/>
      <c r="C89" s="100"/>
      <c r="D89" s="96"/>
      <c r="E89" s="96"/>
      <c r="F89" s="94"/>
      <c r="G89" s="97"/>
      <c r="H89" s="95"/>
      <c r="I89" s="97"/>
      <c r="J89" s="145">
        <f t="shared" si="0"/>
        <v>0</v>
      </c>
      <c r="K89" s="298"/>
      <c r="L89" s="299">
        <f t="shared" si="33"/>
        <v>0</v>
      </c>
      <c r="M89" s="97"/>
      <c r="N89" s="95"/>
      <c r="O89" s="95">
        <v>21.25</v>
      </c>
      <c r="P89" s="101"/>
      <c r="Q89" s="145">
        <f t="shared" si="1"/>
        <v>0</v>
      </c>
      <c r="R89" s="145">
        <f t="shared" si="2"/>
        <v>0</v>
      </c>
      <c r="S89" s="145">
        <f t="shared" si="3"/>
        <v>0</v>
      </c>
      <c r="T89" s="97" t="s">
        <v>570</v>
      </c>
      <c r="U89" s="94"/>
      <c r="V89" s="97"/>
      <c r="W89" s="97"/>
      <c r="X89" s="97"/>
      <c r="Y89" s="146">
        <f t="shared" si="4"/>
        <v>0</v>
      </c>
      <c r="Z89" s="147">
        <f t="shared" si="5"/>
        <v>0</v>
      </c>
      <c r="AA89" s="147">
        <f t="shared" si="6"/>
        <v>0</v>
      </c>
      <c r="AB89" s="146">
        <f t="shared" si="7"/>
        <v>21.25</v>
      </c>
      <c r="AC89" s="146">
        <f t="shared" si="8"/>
        <v>0</v>
      </c>
      <c r="AD89" s="148">
        <f t="shared" si="9"/>
        <v>0</v>
      </c>
      <c r="AE89" s="148">
        <f t="shared" si="10"/>
        <v>0</v>
      </c>
      <c r="AF89" s="148">
        <f t="shared" si="11"/>
        <v>0</v>
      </c>
      <c r="AG89" s="149">
        <f t="shared" si="12"/>
        <v>0</v>
      </c>
      <c r="AH89" s="149">
        <f t="shared" si="13"/>
        <v>0</v>
      </c>
      <c r="AI89" s="383">
        <f t="shared" si="14"/>
        <v>0</v>
      </c>
      <c r="AJ89" s="149">
        <f t="shared" si="15"/>
        <v>0</v>
      </c>
    </row>
    <row r="90" spans="1:36" s="64" customFormat="1" x14ac:dyDescent="0.25">
      <c r="A90" s="94" t="e">
        <f>IF(UC_DADOS!$B$2=0,"",UC_DADOS!$B$2)</f>
        <v>#N/A</v>
      </c>
      <c r="B90" s="100"/>
      <c r="C90" s="100"/>
      <c r="D90" s="102"/>
      <c r="E90" s="96"/>
      <c r="F90" s="94"/>
      <c r="G90" s="94"/>
      <c r="H90" s="95"/>
      <c r="I90" s="97"/>
      <c r="J90" s="145">
        <f t="shared" si="0"/>
        <v>0</v>
      </c>
      <c r="K90" s="298"/>
      <c r="L90" s="299">
        <f t="shared" si="33"/>
        <v>0</v>
      </c>
      <c r="M90" s="97"/>
      <c r="N90" s="95"/>
      <c r="O90" s="95">
        <v>21.25</v>
      </c>
      <c r="P90" s="101"/>
      <c r="Q90" s="145">
        <f t="shared" si="1"/>
        <v>0</v>
      </c>
      <c r="R90" s="145">
        <f t="shared" si="2"/>
        <v>0</v>
      </c>
      <c r="S90" s="145">
        <f t="shared" si="3"/>
        <v>0</v>
      </c>
      <c r="T90" s="97" t="s">
        <v>570</v>
      </c>
      <c r="U90" s="94"/>
      <c r="V90" s="94"/>
      <c r="W90" s="97"/>
      <c r="X90" s="97"/>
      <c r="Y90" s="146">
        <f t="shared" si="4"/>
        <v>0</v>
      </c>
      <c r="Z90" s="147">
        <f t="shared" si="5"/>
        <v>0</v>
      </c>
      <c r="AA90" s="147">
        <f t="shared" si="6"/>
        <v>0</v>
      </c>
      <c r="AB90" s="146">
        <f t="shared" si="7"/>
        <v>21.25</v>
      </c>
      <c r="AC90" s="146">
        <f t="shared" si="8"/>
        <v>0</v>
      </c>
      <c r="AD90" s="148">
        <f t="shared" si="9"/>
        <v>0</v>
      </c>
      <c r="AE90" s="148">
        <f t="shared" si="10"/>
        <v>0</v>
      </c>
      <c r="AF90" s="148">
        <f t="shared" si="11"/>
        <v>0</v>
      </c>
      <c r="AG90" s="149">
        <f t="shared" si="12"/>
        <v>0</v>
      </c>
      <c r="AH90" s="149">
        <f t="shared" si="13"/>
        <v>0</v>
      </c>
      <c r="AI90" s="383">
        <f t="shared" si="14"/>
        <v>0</v>
      </c>
      <c r="AJ90" s="149">
        <f t="shared" si="15"/>
        <v>0</v>
      </c>
    </row>
    <row r="91" spans="1:36" s="64" customFormat="1" x14ac:dyDescent="0.25">
      <c r="A91" s="94" t="e">
        <f>IF(UC_DADOS!$B$2=0,"",UC_DADOS!$B$2)</f>
        <v>#N/A</v>
      </c>
      <c r="B91" s="100"/>
      <c r="C91" s="100"/>
      <c r="D91" s="102"/>
      <c r="E91" s="96"/>
      <c r="F91" s="94"/>
      <c r="G91" s="94"/>
      <c r="H91" s="95"/>
      <c r="I91" s="97"/>
      <c r="J91" s="145">
        <f t="shared" si="0"/>
        <v>0</v>
      </c>
      <c r="K91" s="298"/>
      <c r="L91" s="299">
        <f t="shared" si="33"/>
        <v>0</v>
      </c>
      <c r="M91" s="97"/>
      <c r="N91" s="95"/>
      <c r="O91" s="95">
        <v>21.25</v>
      </c>
      <c r="P91" s="101"/>
      <c r="Q91" s="145">
        <f t="shared" si="1"/>
        <v>0</v>
      </c>
      <c r="R91" s="145">
        <f t="shared" si="2"/>
        <v>0</v>
      </c>
      <c r="S91" s="145">
        <f t="shared" si="3"/>
        <v>0</v>
      </c>
      <c r="T91" s="97" t="s">
        <v>570</v>
      </c>
      <c r="U91" s="94"/>
      <c r="V91" s="94"/>
      <c r="W91" s="97"/>
      <c r="X91" s="97"/>
      <c r="Y91" s="146">
        <f t="shared" si="4"/>
        <v>0</v>
      </c>
      <c r="Z91" s="147">
        <f t="shared" si="5"/>
        <v>0</v>
      </c>
      <c r="AA91" s="147">
        <f t="shared" si="6"/>
        <v>0</v>
      </c>
      <c r="AB91" s="146">
        <f t="shared" si="7"/>
        <v>21.25</v>
      </c>
      <c r="AC91" s="146">
        <f t="shared" si="8"/>
        <v>0</v>
      </c>
      <c r="AD91" s="148">
        <f t="shared" si="9"/>
        <v>0</v>
      </c>
      <c r="AE91" s="148">
        <f t="shared" si="10"/>
        <v>0</v>
      </c>
      <c r="AF91" s="148">
        <f t="shared" si="11"/>
        <v>0</v>
      </c>
      <c r="AG91" s="149">
        <f t="shared" si="12"/>
        <v>0</v>
      </c>
      <c r="AH91" s="149">
        <f t="shared" si="13"/>
        <v>0</v>
      </c>
      <c r="AI91" s="383">
        <f t="shared" si="14"/>
        <v>0</v>
      </c>
      <c r="AJ91" s="149">
        <f t="shared" si="15"/>
        <v>0</v>
      </c>
    </row>
    <row r="92" spans="1:36" s="64" customFormat="1" x14ac:dyDescent="0.25">
      <c r="A92" s="94" t="e">
        <f>IF(UC_DADOS!$B$2=0,"",UC_DADOS!$B$2)</f>
        <v>#N/A</v>
      </c>
      <c r="B92" s="100"/>
      <c r="C92" s="100"/>
      <c r="D92" s="102"/>
      <c r="E92" s="96"/>
      <c r="F92" s="94"/>
      <c r="G92" s="94"/>
      <c r="H92" s="95"/>
      <c r="I92" s="97"/>
      <c r="J92" s="145">
        <f t="shared" si="0"/>
        <v>0</v>
      </c>
      <c r="K92" s="298"/>
      <c r="L92" s="299">
        <f t="shared" si="33"/>
        <v>0</v>
      </c>
      <c r="M92" s="97"/>
      <c r="N92" s="95"/>
      <c r="O92" s="95">
        <v>21.25</v>
      </c>
      <c r="P92" s="101"/>
      <c r="Q92" s="145">
        <f t="shared" si="1"/>
        <v>0</v>
      </c>
      <c r="R92" s="145">
        <f t="shared" si="2"/>
        <v>0</v>
      </c>
      <c r="S92" s="145">
        <f t="shared" si="3"/>
        <v>0</v>
      </c>
      <c r="T92" s="97" t="s">
        <v>570</v>
      </c>
      <c r="U92" s="94"/>
      <c r="V92" s="94"/>
      <c r="W92" s="97"/>
      <c r="X92" s="97"/>
      <c r="Y92" s="146">
        <f t="shared" si="4"/>
        <v>0</v>
      </c>
      <c r="Z92" s="147">
        <f t="shared" si="5"/>
        <v>0</v>
      </c>
      <c r="AA92" s="147">
        <f t="shared" si="6"/>
        <v>0</v>
      </c>
      <c r="AB92" s="146">
        <f t="shared" si="7"/>
        <v>21.25</v>
      </c>
      <c r="AC92" s="146">
        <f t="shared" si="8"/>
        <v>0</v>
      </c>
      <c r="AD92" s="148">
        <f t="shared" si="9"/>
        <v>0</v>
      </c>
      <c r="AE92" s="148">
        <f t="shared" si="10"/>
        <v>0</v>
      </c>
      <c r="AF92" s="148">
        <f t="shared" si="11"/>
        <v>0</v>
      </c>
      <c r="AG92" s="149">
        <f t="shared" si="12"/>
        <v>0</v>
      </c>
      <c r="AH92" s="149">
        <f t="shared" si="13"/>
        <v>0</v>
      </c>
      <c r="AI92" s="383">
        <f t="shared" si="14"/>
        <v>0</v>
      </c>
      <c r="AJ92" s="149">
        <f t="shared" si="15"/>
        <v>0</v>
      </c>
    </row>
    <row r="93" spans="1:36" s="64" customFormat="1" x14ac:dyDescent="0.25">
      <c r="A93" s="94" t="e">
        <f>IF(UC_DADOS!$B$2=0,"",UC_DADOS!$B$2)</f>
        <v>#N/A</v>
      </c>
      <c r="B93" s="100"/>
      <c r="C93" s="100"/>
      <c r="D93" s="102"/>
      <c r="E93" s="96"/>
      <c r="F93" s="94"/>
      <c r="G93" s="97"/>
      <c r="H93" s="95"/>
      <c r="I93" s="97"/>
      <c r="J93" s="145">
        <f t="shared" si="0"/>
        <v>0</v>
      </c>
      <c r="K93" s="298"/>
      <c r="L93" s="299">
        <f t="shared" si="33"/>
        <v>0</v>
      </c>
      <c r="M93" s="97"/>
      <c r="N93" s="95"/>
      <c r="O93" s="95">
        <v>21.25</v>
      </c>
      <c r="P93" s="101"/>
      <c r="Q93" s="145">
        <f t="shared" si="1"/>
        <v>0</v>
      </c>
      <c r="R93" s="145">
        <f t="shared" si="2"/>
        <v>0</v>
      </c>
      <c r="S93" s="145">
        <f t="shared" si="3"/>
        <v>0</v>
      </c>
      <c r="T93" s="97" t="s">
        <v>570</v>
      </c>
      <c r="U93" s="94"/>
      <c r="V93" s="97"/>
      <c r="W93" s="97"/>
      <c r="X93" s="97"/>
      <c r="Y93" s="146">
        <f t="shared" si="4"/>
        <v>0</v>
      </c>
      <c r="Z93" s="147">
        <f t="shared" si="5"/>
        <v>0</v>
      </c>
      <c r="AA93" s="147">
        <f t="shared" si="6"/>
        <v>0</v>
      </c>
      <c r="AB93" s="146">
        <f t="shared" si="7"/>
        <v>21.25</v>
      </c>
      <c r="AC93" s="146">
        <f t="shared" si="8"/>
        <v>0</v>
      </c>
      <c r="AD93" s="148">
        <f t="shared" si="9"/>
        <v>0</v>
      </c>
      <c r="AE93" s="148">
        <f t="shared" si="10"/>
        <v>0</v>
      </c>
      <c r="AF93" s="148">
        <f t="shared" si="11"/>
        <v>0</v>
      </c>
      <c r="AG93" s="149">
        <f t="shared" si="12"/>
        <v>0</v>
      </c>
      <c r="AH93" s="149">
        <f t="shared" si="13"/>
        <v>0</v>
      </c>
      <c r="AI93" s="383">
        <f t="shared" si="14"/>
        <v>0</v>
      </c>
      <c r="AJ93" s="149">
        <f t="shared" si="15"/>
        <v>0</v>
      </c>
    </row>
    <row r="94" spans="1:36" s="64" customFormat="1" x14ac:dyDescent="0.25">
      <c r="A94" s="94" t="e">
        <f>IF(UC_DADOS!$B$2=0,"",UC_DADOS!$B$2)</f>
        <v>#N/A</v>
      </c>
      <c r="B94" s="100"/>
      <c r="C94" s="100"/>
      <c r="D94" s="102"/>
      <c r="E94" s="96"/>
      <c r="F94" s="94"/>
      <c r="G94" s="97"/>
      <c r="H94" s="95"/>
      <c r="I94" s="97"/>
      <c r="J94" s="145">
        <f t="shared" si="0"/>
        <v>0</v>
      </c>
      <c r="K94" s="298"/>
      <c r="L94" s="299">
        <f t="shared" si="33"/>
        <v>0</v>
      </c>
      <c r="M94" s="97"/>
      <c r="N94" s="95"/>
      <c r="O94" s="95">
        <v>21.25</v>
      </c>
      <c r="P94" s="101"/>
      <c r="Q94" s="145">
        <f t="shared" si="1"/>
        <v>0</v>
      </c>
      <c r="R94" s="145">
        <f t="shared" si="2"/>
        <v>0</v>
      </c>
      <c r="S94" s="145">
        <f t="shared" si="3"/>
        <v>0</v>
      </c>
      <c r="T94" s="97" t="s">
        <v>570</v>
      </c>
      <c r="U94" s="94"/>
      <c r="V94" s="97"/>
      <c r="W94" s="97"/>
      <c r="X94" s="97"/>
      <c r="Y94" s="146">
        <f t="shared" si="4"/>
        <v>0</v>
      </c>
      <c r="Z94" s="147">
        <f t="shared" si="5"/>
        <v>0</v>
      </c>
      <c r="AA94" s="147">
        <f t="shared" si="6"/>
        <v>0</v>
      </c>
      <c r="AB94" s="146">
        <f t="shared" si="7"/>
        <v>21.25</v>
      </c>
      <c r="AC94" s="146">
        <f t="shared" si="8"/>
        <v>0</v>
      </c>
      <c r="AD94" s="148">
        <f t="shared" si="9"/>
        <v>0</v>
      </c>
      <c r="AE94" s="148">
        <f t="shared" si="10"/>
        <v>0</v>
      </c>
      <c r="AF94" s="148">
        <f t="shared" si="11"/>
        <v>0</v>
      </c>
      <c r="AG94" s="149">
        <f t="shared" si="12"/>
        <v>0</v>
      </c>
      <c r="AH94" s="149">
        <f t="shared" si="13"/>
        <v>0</v>
      </c>
      <c r="AI94" s="383">
        <f t="shared" si="14"/>
        <v>0</v>
      </c>
      <c r="AJ94" s="149">
        <f t="shared" si="15"/>
        <v>0</v>
      </c>
    </row>
    <row r="95" spans="1:36" s="64" customFormat="1" x14ac:dyDescent="0.25">
      <c r="A95" s="94" t="e">
        <f>IF(UC_DADOS!$B$2=0,"",UC_DADOS!$B$2)</f>
        <v>#N/A</v>
      </c>
      <c r="B95" s="100"/>
      <c r="C95" s="100"/>
      <c r="D95" s="102"/>
      <c r="E95" s="96"/>
      <c r="F95" s="94"/>
      <c r="G95" s="97"/>
      <c r="H95" s="95"/>
      <c r="I95" s="97"/>
      <c r="J95" s="145">
        <f t="shared" si="0"/>
        <v>0</v>
      </c>
      <c r="K95" s="298"/>
      <c r="L95" s="299">
        <f t="shared" si="33"/>
        <v>0</v>
      </c>
      <c r="M95" s="97"/>
      <c r="N95" s="95"/>
      <c r="O95" s="95">
        <v>21.25</v>
      </c>
      <c r="P95" s="101"/>
      <c r="Q95" s="145">
        <f t="shared" si="1"/>
        <v>0</v>
      </c>
      <c r="R95" s="145">
        <f t="shared" si="2"/>
        <v>0</v>
      </c>
      <c r="S95" s="145">
        <f t="shared" si="3"/>
        <v>0</v>
      </c>
      <c r="T95" s="97" t="s">
        <v>570</v>
      </c>
      <c r="U95" s="94"/>
      <c r="V95" s="97"/>
      <c r="W95" s="97"/>
      <c r="X95" s="97"/>
      <c r="Y95" s="146">
        <f t="shared" si="4"/>
        <v>0</v>
      </c>
      <c r="Z95" s="147">
        <f t="shared" si="5"/>
        <v>0</v>
      </c>
      <c r="AA95" s="147">
        <f t="shared" si="6"/>
        <v>0</v>
      </c>
      <c r="AB95" s="146">
        <f t="shared" si="7"/>
        <v>21.25</v>
      </c>
      <c r="AC95" s="146">
        <f t="shared" si="8"/>
        <v>0</v>
      </c>
      <c r="AD95" s="148">
        <f t="shared" si="9"/>
        <v>0</v>
      </c>
      <c r="AE95" s="148">
        <f t="shared" si="10"/>
        <v>0</v>
      </c>
      <c r="AF95" s="148">
        <f t="shared" si="11"/>
        <v>0</v>
      </c>
      <c r="AG95" s="149">
        <f t="shared" si="12"/>
        <v>0</v>
      </c>
      <c r="AH95" s="149">
        <f t="shared" si="13"/>
        <v>0</v>
      </c>
      <c r="AI95" s="383">
        <f t="shared" si="14"/>
        <v>0</v>
      </c>
      <c r="AJ95" s="149">
        <f t="shared" si="15"/>
        <v>0</v>
      </c>
    </row>
    <row r="96" spans="1:36" x14ac:dyDescent="0.25">
      <c r="A96" s="151"/>
      <c r="B96" s="151"/>
      <c r="C96" s="151"/>
      <c r="D96" s="151"/>
      <c r="E96" s="152" t="s">
        <v>554</v>
      </c>
      <c r="F96" s="153"/>
      <c r="G96" s="154">
        <f>SUM(G4:G95)</f>
        <v>0</v>
      </c>
      <c r="H96" s="153"/>
      <c r="I96" s="153"/>
      <c r="J96" s="154">
        <f>SUM(J4:J95)</f>
        <v>0</v>
      </c>
      <c r="K96" s="154"/>
      <c r="L96" s="153"/>
      <c r="M96" s="153"/>
      <c r="N96" s="153"/>
      <c r="O96" s="153"/>
      <c r="P96" s="153"/>
      <c r="Q96" s="153"/>
      <c r="R96" s="154">
        <f>SUM(R4:R95)</f>
        <v>0</v>
      </c>
      <c r="S96" s="154">
        <f>SUM(S4:S95)</f>
        <v>0</v>
      </c>
      <c r="T96" s="153"/>
      <c r="U96" s="153"/>
      <c r="V96" s="154">
        <f>SUM(V4:V95)</f>
        <v>0</v>
      </c>
      <c r="W96" s="153"/>
      <c r="X96" s="153"/>
      <c r="Y96" s="154">
        <f>SUM(Y4:Y95)</f>
        <v>0</v>
      </c>
      <c r="Z96" s="153"/>
      <c r="AA96" s="153"/>
      <c r="AB96" s="153"/>
      <c r="AC96" s="153"/>
      <c r="AD96" s="153"/>
      <c r="AE96" s="154">
        <f t="shared" ref="AE96:AJ96" si="34">SUM(AE4:AE95)</f>
        <v>0</v>
      </c>
      <c r="AF96" s="154">
        <f t="shared" si="34"/>
        <v>0</v>
      </c>
      <c r="AG96" s="155">
        <f t="shared" si="34"/>
        <v>0</v>
      </c>
      <c r="AH96" s="155">
        <f t="shared" si="34"/>
        <v>0</v>
      </c>
      <c r="AI96" s="156">
        <f t="shared" si="34"/>
        <v>0</v>
      </c>
      <c r="AJ96" s="154">
        <f t="shared" si="34"/>
        <v>0</v>
      </c>
    </row>
  </sheetData>
  <autoFilter ref="A2:AI96" xr:uid="{00000000-0009-0000-0000-00000A000000}">
    <filterColumn colId="0" hiddenButton="1"/>
    <filterColumn colId="1" hiddenButton="1"/>
    <filterColumn colId="2" hiddenButton="1"/>
    <filterColumn colId="3" hiddenButton="1"/>
  </autoFilter>
  <mergeCells count="36">
    <mergeCell ref="AH1:AI1"/>
    <mergeCell ref="B2:B3"/>
    <mergeCell ref="P2:P3"/>
    <mergeCell ref="AG2:AG3"/>
    <mergeCell ref="D2:D3"/>
    <mergeCell ref="W2:X2"/>
    <mergeCell ref="AB2:AB3"/>
    <mergeCell ref="AD2:AD3"/>
    <mergeCell ref="O2:O3"/>
    <mergeCell ref="C2:C3"/>
    <mergeCell ref="AI2:AI3"/>
    <mergeCell ref="R2:R3"/>
    <mergeCell ref="AA2:AA3"/>
    <mergeCell ref="U2:V2"/>
    <mergeCell ref="A1:D1"/>
    <mergeCell ref="F2:G2"/>
    <mergeCell ref="AJ2:AJ3"/>
    <mergeCell ref="Y2:Y3"/>
    <mergeCell ref="AE2:AE3"/>
    <mergeCell ref="AF2:AF3"/>
    <mergeCell ref="AH2:AH3"/>
    <mergeCell ref="A2:A3"/>
    <mergeCell ref="E1:S1"/>
    <mergeCell ref="T1:AG1"/>
    <mergeCell ref="K2:K3"/>
    <mergeCell ref="E2:E3"/>
    <mergeCell ref="L2:L3"/>
    <mergeCell ref="H2:I2"/>
    <mergeCell ref="Q2:Q3"/>
    <mergeCell ref="AC2:AC3"/>
    <mergeCell ref="S2:S3"/>
    <mergeCell ref="T2:T3"/>
    <mergeCell ref="J2:J3"/>
    <mergeCell ref="M2:M3"/>
    <mergeCell ref="Z2:Z3"/>
    <mergeCell ref="N2:N3"/>
  </mergeCells>
  <pageMargins left="0.51180555555555596" right="0.51180555555555596" top="0.78749999999999998" bottom="0.78819444444444398" header="0.511811023622047" footer="0.31527777777777799"/>
  <pageSetup paperSize="9" fitToHeight="0" orientation="landscape" horizontalDpi="300" verticalDpi="300"/>
  <headerFooter>
    <oddFooter>&amp;C&amp;"Calibri,Regular"&amp;12 &amp;K008000#Internal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L47"/>
  <sheetViews>
    <sheetView zoomScale="85" zoomScaleNormal="85" workbookViewId="0">
      <pane xSplit="3" ySplit="2" topLeftCell="D3" activePane="bottomRight" state="frozen"/>
      <selection pane="topRight" activeCell="X1" sqref="X1"/>
      <selection pane="bottomLeft" activeCell="A3" sqref="A3"/>
      <selection pane="bottomRight" activeCell="M4" sqref="M4"/>
    </sheetView>
  </sheetViews>
  <sheetFormatPr defaultColWidth="8.85546875" defaultRowHeight="15" x14ac:dyDescent="0.25"/>
  <cols>
    <col min="1" max="1" width="19" style="53" customWidth="1"/>
    <col min="2" max="2" width="10.5703125" style="53" customWidth="1"/>
    <col min="3" max="3" width="22.5703125" style="53" customWidth="1"/>
    <col min="4" max="4" width="31.7109375" style="54" customWidth="1"/>
    <col min="5" max="5" width="11.42578125" style="54" customWidth="1"/>
    <col min="6" max="6" width="22.42578125" style="54" customWidth="1"/>
    <col min="7" max="7" width="20.7109375" style="54" customWidth="1"/>
    <col min="8" max="10" width="18.85546875" style="54" customWidth="1"/>
    <col min="11" max="12" width="11.42578125" style="54" customWidth="1"/>
    <col min="13" max="13" width="15.140625" style="54" customWidth="1"/>
    <col min="14" max="20" width="18.85546875" style="54" customWidth="1"/>
    <col min="21" max="21" width="31.7109375" style="54" customWidth="1"/>
    <col min="22" max="22" width="9.5703125" style="54" customWidth="1"/>
    <col min="23" max="23" width="16.5703125" style="54" customWidth="1"/>
    <col min="24" max="24" width="17.42578125" style="54" customWidth="1"/>
    <col min="25" max="25" width="14.85546875" style="54" customWidth="1"/>
    <col min="26" max="27" width="14.42578125" style="54" customWidth="1"/>
    <col min="28" max="28" width="19.140625" style="54" customWidth="1"/>
    <col min="29" max="29" width="19.85546875" style="54" customWidth="1"/>
    <col min="30" max="34" width="20.42578125" style="54" customWidth="1"/>
    <col min="35" max="37" width="18.42578125" style="54" customWidth="1"/>
    <col min="38" max="38" width="22.28515625" style="54" customWidth="1"/>
    <col min="39" max="39" width="8.85546875" style="53" customWidth="1"/>
    <col min="40" max="16384" width="8.85546875" style="53"/>
  </cols>
  <sheetData>
    <row r="1" spans="1:38" ht="47.25" customHeight="1" x14ac:dyDescent="0.25">
      <c r="A1" s="467" t="s">
        <v>555</v>
      </c>
      <c r="B1" s="468"/>
      <c r="C1" s="469"/>
      <c r="D1" s="470" t="s">
        <v>522</v>
      </c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9"/>
      <c r="U1" s="472" t="s">
        <v>523</v>
      </c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9"/>
      <c r="AI1" s="471" t="s">
        <v>524</v>
      </c>
      <c r="AJ1" s="468"/>
      <c r="AK1" s="468"/>
      <c r="AL1" s="469"/>
    </row>
    <row r="2" spans="1:38" s="64" customFormat="1" ht="68.25" customHeight="1" x14ac:dyDescent="0.25">
      <c r="A2" s="89" t="s">
        <v>527</v>
      </c>
      <c r="B2" s="89" t="s">
        <v>528</v>
      </c>
      <c r="C2" s="90" t="s">
        <v>529</v>
      </c>
      <c r="D2" s="91" t="s">
        <v>531</v>
      </c>
      <c r="E2" s="91" t="s">
        <v>556</v>
      </c>
      <c r="F2" s="91" t="s">
        <v>557</v>
      </c>
      <c r="G2" s="91" t="s">
        <v>558</v>
      </c>
      <c r="H2" s="91" t="s">
        <v>559</v>
      </c>
      <c r="I2" s="91" t="s">
        <v>537</v>
      </c>
      <c r="J2" s="91" t="s">
        <v>538</v>
      </c>
      <c r="K2" s="91" t="s">
        <v>535</v>
      </c>
      <c r="L2" s="91" t="s">
        <v>539</v>
      </c>
      <c r="M2" s="91" t="s">
        <v>540</v>
      </c>
      <c r="N2" s="91" t="s">
        <v>560</v>
      </c>
      <c r="O2" s="91" t="s">
        <v>899</v>
      </c>
      <c r="P2" s="91" t="s">
        <v>900</v>
      </c>
      <c r="Q2" s="91" t="s">
        <v>543</v>
      </c>
      <c r="R2" s="91" t="s">
        <v>544</v>
      </c>
      <c r="S2" s="91" t="s">
        <v>545</v>
      </c>
      <c r="T2" s="91" t="s">
        <v>546</v>
      </c>
      <c r="U2" s="92" t="s">
        <v>531</v>
      </c>
      <c r="V2" s="92" t="s">
        <v>561</v>
      </c>
      <c r="W2" s="92" t="s">
        <v>559</v>
      </c>
      <c r="X2" s="92" t="s">
        <v>537</v>
      </c>
      <c r="Y2" s="92" t="s">
        <v>562</v>
      </c>
      <c r="Z2" s="92" t="s">
        <v>535</v>
      </c>
      <c r="AA2" s="92" t="s">
        <v>547</v>
      </c>
      <c r="AB2" s="92" t="s">
        <v>540</v>
      </c>
      <c r="AC2" s="92" t="s">
        <v>548</v>
      </c>
      <c r="AD2" s="92" t="s">
        <v>563</v>
      </c>
      <c r="AE2" s="92" t="s">
        <v>543</v>
      </c>
      <c r="AF2" s="92" t="s">
        <v>544</v>
      </c>
      <c r="AG2" s="92" t="s">
        <v>545</v>
      </c>
      <c r="AH2" s="92" t="s">
        <v>546</v>
      </c>
      <c r="AI2" s="93" t="s">
        <v>550</v>
      </c>
      <c r="AJ2" s="93" t="s">
        <v>551</v>
      </c>
      <c r="AK2" s="93" t="s">
        <v>552</v>
      </c>
      <c r="AL2" s="93" t="s">
        <v>553</v>
      </c>
    </row>
    <row r="3" spans="1:38" s="64" customFormat="1" x14ac:dyDescent="0.25">
      <c r="A3" s="94" t="e">
        <f>IF(UC_DADOS!$B$2=0,"",UC_DADOS!$B$2)</f>
        <v>#N/A</v>
      </c>
      <c r="B3" s="283"/>
      <c r="C3" s="283"/>
      <c r="D3" s="283"/>
      <c r="E3" s="95"/>
      <c r="F3" s="95"/>
      <c r="G3" s="96"/>
      <c r="H3" s="283"/>
      <c r="I3" s="95"/>
      <c r="J3" s="145">
        <f>(H3*I3)/1000</f>
        <v>0</v>
      </c>
      <c r="K3" s="97"/>
      <c r="L3" s="283"/>
      <c r="M3" s="299">
        <f>L3*N3*O3</f>
        <v>0</v>
      </c>
      <c r="N3" s="97"/>
      <c r="O3" s="97"/>
      <c r="P3" s="95">
        <v>21.25</v>
      </c>
      <c r="Q3" s="95"/>
      <c r="R3" s="145">
        <f t="shared" ref="R3:R39" si="0">N3*P3*Q3/765</f>
        <v>0</v>
      </c>
      <c r="S3" s="200">
        <f t="shared" ref="S3:S39" si="1">(J3*M3)/1000</f>
        <v>0</v>
      </c>
      <c r="T3" s="145">
        <f t="shared" ref="T3:T39" si="2">J3*R3</f>
        <v>0</v>
      </c>
      <c r="U3" s="96">
        <f t="array" ref="U3">IF(F3="Ruim",IFERROR(INDEX('EQUIPAMENTOS_EFICIENTES (BDD)'!O:O,MATCH(1,('EQUIPAMENTOS_EFICIENTES (BDD)'!O:O=D3)*('EQUIPAMENTOS_EFICIENTES (BDD)'!T:T=E3),0)),""),D3)</f>
        <v>0</v>
      </c>
      <c r="V3" s="96">
        <f t="shared" ref="V3:V39" si="3">E3</f>
        <v>0</v>
      </c>
      <c r="W3" s="95">
        <f t="array" ref="W3">IF(F3="Ruim",IFERROR(INDEX('EQUIPAMENTOS_EFICIENTES (BDD)'!Q:Q,MATCH(1,('EQUIPAMENTOS_EFICIENTES (BDD)'!O:O=D3)*('EQUIPAMENTOS_EFICIENTES (BDD)'!T:T=E3),0)),H3),H3)</f>
        <v>0</v>
      </c>
      <c r="X3" s="95">
        <f t="array" ref="X3">IF(F3="Ruim",IFERROR(INDEX('EQUIPAMENTOS_EFICIENTES (BDD)'!S:S,MATCH(1,('EQUIPAMENTOS_EFICIENTES (BDD)'!O:O=D3)*('EQUIPAMENTOS_EFICIENTES (BDD)'!T:T=E3),0)),I3),I3)</f>
        <v>0</v>
      </c>
      <c r="Y3" s="201">
        <f t="shared" ref="Y3:Y39" si="4">(X3*W3)/1000</f>
        <v>0</v>
      </c>
      <c r="Z3" s="202">
        <f t="shared" ref="Z3:Z39" si="5">K3</f>
        <v>0</v>
      </c>
      <c r="AA3" s="203">
        <f t="array" ref="AA3">IF(F3="Ruim",IFERROR(INDEX('EQUIPAMENTOS_EFICIENTES (BDD)'!U:U,MATCH(1,('EQUIPAMENTOS_EFICIENTES (BDD)'!O:O=D3)*('EQUIPAMENTOS_EFICIENTES (BDD)'!T:T=E3),0)),0),0)</f>
        <v>0</v>
      </c>
      <c r="AB3" s="203">
        <f>M3</f>
        <v>0</v>
      </c>
      <c r="AC3" s="203">
        <f>N3</f>
        <v>0</v>
      </c>
      <c r="AD3" s="201">
        <f t="shared" ref="AD3:AF18" si="6">P3</f>
        <v>21.25</v>
      </c>
      <c r="AE3" s="203">
        <f t="shared" si="6"/>
        <v>0</v>
      </c>
      <c r="AF3" s="201">
        <f t="shared" si="6"/>
        <v>0</v>
      </c>
      <c r="AG3" s="201">
        <f t="shared" ref="AG3:AG39" si="7">(AB3*Y3)/1000</f>
        <v>0</v>
      </c>
      <c r="AH3" s="204">
        <f t="shared" ref="AH3:AH39" si="8">AF3*Y3/1000</f>
        <v>0</v>
      </c>
      <c r="AI3" s="205">
        <f t="shared" ref="AI3:AI39" si="9">T3-AH3</f>
        <v>0</v>
      </c>
      <c r="AJ3" s="205">
        <f t="shared" ref="AJ3:AJ39" si="10">(S3-AG3)</f>
        <v>0</v>
      </c>
      <c r="AK3" s="205">
        <f t="shared" ref="AK3:AK39" si="11">IF(AJ3&gt;0,Z3*AA3,0)</f>
        <v>0</v>
      </c>
      <c r="AL3" s="205">
        <f t="shared" ref="AL3:AL39" si="12">AJ3/478.332</f>
        <v>0</v>
      </c>
    </row>
    <row r="4" spans="1:38" s="64" customFormat="1" x14ac:dyDescent="0.25">
      <c r="A4" s="94" t="e">
        <f>IF(UC_DADOS!$B$2=0,"",UC_DADOS!$B$2)</f>
        <v>#N/A</v>
      </c>
      <c r="B4" s="283"/>
      <c r="C4" s="283"/>
      <c r="D4" s="283"/>
      <c r="E4" s="95"/>
      <c r="F4" s="95"/>
      <c r="G4" s="96"/>
      <c r="H4" s="283"/>
      <c r="I4" s="95"/>
      <c r="J4" s="145">
        <f t="shared" ref="J4:J39" si="13">(H4*I4)/1000</f>
        <v>0</v>
      </c>
      <c r="K4" s="97"/>
      <c r="L4" s="283"/>
      <c r="M4" s="299">
        <f t="shared" ref="M4:M39" si="14">L4*N4*O4</f>
        <v>0</v>
      </c>
      <c r="N4" s="97"/>
      <c r="O4" s="97"/>
      <c r="P4" s="95">
        <v>21.25</v>
      </c>
      <c r="Q4" s="95"/>
      <c r="R4" s="145">
        <f t="shared" si="0"/>
        <v>0</v>
      </c>
      <c r="S4" s="200">
        <f t="shared" si="1"/>
        <v>0</v>
      </c>
      <c r="T4" s="145">
        <f t="shared" si="2"/>
        <v>0</v>
      </c>
      <c r="U4" s="96">
        <f t="array" ref="U4">IF(F4="Ruim",IFERROR(INDEX('EQUIPAMENTOS_EFICIENTES (BDD)'!O:O,MATCH(1,('EQUIPAMENTOS_EFICIENTES (BDD)'!O:O=D4)*('EQUIPAMENTOS_EFICIENTES (BDD)'!T:T=E4),0)),""),D4)</f>
        <v>0</v>
      </c>
      <c r="V4" s="96">
        <f t="shared" si="3"/>
        <v>0</v>
      </c>
      <c r="W4" s="95">
        <f t="array" ref="W4">IF(F4="Ruim",IFERROR(INDEX('EQUIPAMENTOS_EFICIENTES (BDD)'!Q:Q,MATCH(1,('EQUIPAMENTOS_EFICIENTES (BDD)'!O:O=D4)*('EQUIPAMENTOS_EFICIENTES (BDD)'!T:T=E4),0)),H4),H4)</f>
        <v>0</v>
      </c>
      <c r="X4" s="95">
        <f t="array" ref="X4">IF(F4="Ruim",IFERROR(INDEX('EQUIPAMENTOS_EFICIENTES (BDD)'!S:S,MATCH(1,('EQUIPAMENTOS_EFICIENTES (BDD)'!O:O=D4)*('EQUIPAMENTOS_EFICIENTES (BDD)'!T:T=E4),0)),I4),I4)</f>
        <v>0</v>
      </c>
      <c r="Y4" s="201">
        <f t="shared" si="4"/>
        <v>0</v>
      </c>
      <c r="Z4" s="202">
        <f t="shared" si="5"/>
        <v>0</v>
      </c>
      <c r="AA4" s="203">
        <f t="array" ref="AA4">IF(F4="Ruim",IFERROR(INDEX('EQUIPAMENTOS_EFICIENTES (BDD)'!U:U,MATCH(1,('EQUIPAMENTOS_EFICIENTES (BDD)'!O:O=D4)*('EQUIPAMENTOS_EFICIENTES (BDD)'!T:T=E4),0)),0),0)</f>
        <v>0</v>
      </c>
      <c r="AB4" s="203">
        <f t="shared" ref="AB4:AB39" si="15">M4</f>
        <v>0</v>
      </c>
      <c r="AC4" s="203">
        <f t="shared" ref="AC4:AC39" si="16">N4</f>
        <v>0</v>
      </c>
      <c r="AD4" s="201">
        <f t="shared" si="6"/>
        <v>21.25</v>
      </c>
      <c r="AE4" s="203">
        <f t="shared" si="6"/>
        <v>0</v>
      </c>
      <c r="AF4" s="201">
        <f t="shared" si="6"/>
        <v>0</v>
      </c>
      <c r="AG4" s="201">
        <f t="shared" si="7"/>
        <v>0</v>
      </c>
      <c r="AH4" s="204">
        <f t="shared" si="8"/>
        <v>0</v>
      </c>
      <c r="AI4" s="205">
        <f t="shared" si="9"/>
        <v>0</v>
      </c>
      <c r="AJ4" s="205">
        <f t="shared" si="10"/>
        <v>0</v>
      </c>
      <c r="AK4" s="205">
        <f t="shared" si="11"/>
        <v>0</v>
      </c>
      <c r="AL4" s="205">
        <f t="shared" si="12"/>
        <v>0</v>
      </c>
    </row>
    <row r="5" spans="1:38" s="64" customFormat="1" x14ac:dyDescent="0.25">
      <c r="A5" s="94" t="e">
        <f>IF(UC_DADOS!$B$2=0,"",UC_DADOS!$B$2)</f>
        <v>#N/A</v>
      </c>
      <c r="B5" s="283"/>
      <c r="C5" s="283"/>
      <c r="D5" s="283"/>
      <c r="E5" s="95"/>
      <c r="F5" s="95"/>
      <c r="G5" s="96"/>
      <c r="H5" s="283"/>
      <c r="I5" s="95"/>
      <c r="J5" s="145">
        <f t="shared" si="13"/>
        <v>0</v>
      </c>
      <c r="K5" s="97"/>
      <c r="L5" s="283"/>
      <c r="M5" s="299">
        <f t="shared" si="14"/>
        <v>0</v>
      </c>
      <c r="N5" s="97"/>
      <c r="O5" s="97"/>
      <c r="P5" s="95">
        <v>21.25</v>
      </c>
      <c r="Q5" s="95"/>
      <c r="R5" s="145">
        <f t="shared" si="0"/>
        <v>0</v>
      </c>
      <c r="S5" s="200">
        <f t="shared" si="1"/>
        <v>0</v>
      </c>
      <c r="T5" s="145">
        <f t="shared" si="2"/>
        <v>0</v>
      </c>
      <c r="U5" s="96">
        <f t="array" ref="U5">IF(F5="Ruim",IFERROR(INDEX('EQUIPAMENTOS_EFICIENTES (BDD)'!O:O,MATCH(1,('EQUIPAMENTOS_EFICIENTES (BDD)'!O:O=D5)*('EQUIPAMENTOS_EFICIENTES (BDD)'!T:T=E5),0)),""),D5)</f>
        <v>0</v>
      </c>
      <c r="V5" s="96">
        <f t="shared" si="3"/>
        <v>0</v>
      </c>
      <c r="W5" s="95">
        <f t="array" ref="W5">IF(F5="Ruim",IFERROR(INDEX('EQUIPAMENTOS_EFICIENTES (BDD)'!Q:Q,MATCH(1,('EQUIPAMENTOS_EFICIENTES (BDD)'!O:O=D5)*('EQUIPAMENTOS_EFICIENTES (BDD)'!T:T=E5),0)),H5),H5)</f>
        <v>0</v>
      </c>
      <c r="X5" s="95">
        <f t="array" ref="X5">IF(F5="Ruim",IFERROR(INDEX('EQUIPAMENTOS_EFICIENTES (BDD)'!S:S,MATCH(1,('EQUIPAMENTOS_EFICIENTES (BDD)'!O:O=D5)*('EQUIPAMENTOS_EFICIENTES (BDD)'!T:T=E5),0)),I5),I5)</f>
        <v>0</v>
      </c>
      <c r="Y5" s="201">
        <f t="shared" si="4"/>
        <v>0</v>
      </c>
      <c r="Z5" s="202">
        <f t="shared" si="5"/>
        <v>0</v>
      </c>
      <c r="AA5" s="203">
        <f t="array" ref="AA5">IF(F5="Ruim",IFERROR(INDEX('EQUIPAMENTOS_EFICIENTES (BDD)'!U:U,MATCH(1,('EQUIPAMENTOS_EFICIENTES (BDD)'!O:O=D5)*('EQUIPAMENTOS_EFICIENTES (BDD)'!T:T=E5),0)),0),0)</f>
        <v>0</v>
      </c>
      <c r="AB5" s="203">
        <f t="shared" si="15"/>
        <v>0</v>
      </c>
      <c r="AC5" s="203">
        <f t="shared" si="16"/>
        <v>0</v>
      </c>
      <c r="AD5" s="201">
        <f t="shared" si="6"/>
        <v>21.25</v>
      </c>
      <c r="AE5" s="203">
        <f t="shared" si="6"/>
        <v>0</v>
      </c>
      <c r="AF5" s="201">
        <f t="shared" si="6"/>
        <v>0</v>
      </c>
      <c r="AG5" s="201">
        <f t="shared" si="7"/>
        <v>0</v>
      </c>
      <c r="AH5" s="204">
        <f t="shared" si="8"/>
        <v>0</v>
      </c>
      <c r="AI5" s="205">
        <f t="shared" si="9"/>
        <v>0</v>
      </c>
      <c r="AJ5" s="205">
        <f t="shared" si="10"/>
        <v>0</v>
      </c>
      <c r="AK5" s="205">
        <f t="shared" si="11"/>
        <v>0</v>
      </c>
      <c r="AL5" s="205">
        <f t="shared" si="12"/>
        <v>0</v>
      </c>
    </row>
    <row r="6" spans="1:38" s="64" customFormat="1" x14ac:dyDescent="0.25">
      <c r="A6" s="94" t="e">
        <f>IF(UC_DADOS!$B$2=0,"",UC_DADOS!$B$2)</f>
        <v>#N/A</v>
      </c>
      <c r="B6" s="283"/>
      <c r="C6" s="283"/>
      <c r="D6" s="283"/>
      <c r="E6" s="95"/>
      <c r="F6" s="95"/>
      <c r="G6" s="96"/>
      <c r="H6" s="283"/>
      <c r="I6" s="95"/>
      <c r="J6" s="145">
        <f t="shared" si="13"/>
        <v>0</v>
      </c>
      <c r="K6" s="97"/>
      <c r="L6" s="283"/>
      <c r="M6" s="299">
        <f t="shared" si="14"/>
        <v>0</v>
      </c>
      <c r="N6" s="97"/>
      <c r="O6" s="97"/>
      <c r="P6" s="95">
        <v>21.25</v>
      </c>
      <c r="Q6" s="95"/>
      <c r="R6" s="145">
        <f t="shared" si="0"/>
        <v>0</v>
      </c>
      <c r="S6" s="200">
        <f t="shared" si="1"/>
        <v>0</v>
      </c>
      <c r="T6" s="145">
        <f t="shared" si="2"/>
        <v>0</v>
      </c>
      <c r="U6" s="96">
        <f t="array" ref="U6">IF(F6="Ruim",IFERROR(INDEX('EQUIPAMENTOS_EFICIENTES (BDD)'!O:O,MATCH(1,('EQUIPAMENTOS_EFICIENTES (BDD)'!O:O=D6)*('EQUIPAMENTOS_EFICIENTES (BDD)'!T:T=E6),0)),""),D6)</f>
        <v>0</v>
      </c>
      <c r="V6" s="96">
        <f t="shared" si="3"/>
        <v>0</v>
      </c>
      <c r="W6" s="95">
        <f t="array" ref="W6">IF(F6="Ruim",IFERROR(INDEX('EQUIPAMENTOS_EFICIENTES (BDD)'!Q:Q,MATCH(1,('EQUIPAMENTOS_EFICIENTES (BDD)'!O:O=D6)*('EQUIPAMENTOS_EFICIENTES (BDD)'!T:T=E6),0)),H6),H6)</f>
        <v>0</v>
      </c>
      <c r="X6" s="95">
        <f t="array" ref="X6">IF(F6="Ruim",IFERROR(INDEX('EQUIPAMENTOS_EFICIENTES (BDD)'!S:S,MATCH(1,('EQUIPAMENTOS_EFICIENTES (BDD)'!O:O=D6)*('EQUIPAMENTOS_EFICIENTES (BDD)'!T:T=E6),0)),I6),I6)</f>
        <v>0</v>
      </c>
      <c r="Y6" s="201">
        <f t="shared" si="4"/>
        <v>0</v>
      </c>
      <c r="Z6" s="202">
        <f t="shared" si="5"/>
        <v>0</v>
      </c>
      <c r="AA6" s="203">
        <f t="array" ref="AA6">IF(F6="Ruim",IFERROR(INDEX('EQUIPAMENTOS_EFICIENTES (BDD)'!U:U,MATCH(1,('EQUIPAMENTOS_EFICIENTES (BDD)'!O:O=D6)*('EQUIPAMENTOS_EFICIENTES (BDD)'!T:T=E6),0)),0),0)</f>
        <v>0</v>
      </c>
      <c r="AB6" s="203">
        <f t="shared" si="15"/>
        <v>0</v>
      </c>
      <c r="AC6" s="203">
        <f t="shared" si="16"/>
        <v>0</v>
      </c>
      <c r="AD6" s="201">
        <f t="shared" si="6"/>
        <v>21.25</v>
      </c>
      <c r="AE6" s="203">
        <f t="shared" si="6"/>
        <v>0</v>
      </c>
      <c r="AF6" s="201">
        <f t="shared" si="6"/>
        <v>0</v>
      </c>
      <c r="AG6" s="201">
        <f t="shared" si="7"/>
        <v>0</v>
      </c>
      <c r="AH6" s="204">
        <f t="shared" si="8"/>
        <v>0</v>
      </c>
      <c r="AI6" s="205">
        <f t="shared" si="9"/>
        <v>0</v>
      </c>
      <c r="AJ6" s="205">
        <f t="shared" si="10"/>
        <v>0</v>
      </c>
      <c r="AK6" s="205">
        <f t="shared" si="11"/>
        <v>0</v>
      </c>
      <c r="AL6" s="205">
        <f t="shared" si="12"/>
        <v>0</v>
      </c>
    </row>
    <row r="7" spans="1:38" s="64" customFormat="1" x14ac:dyDescent="0.25">
      <c r="A7" s="94" t="e">
        <f>IF(UC_DADOS!$B$2=0,"",UC_DADOS!$B$2)</f>
        <v>#N/A</v>
      </c>
      <c r="B7" s="283"/>
      <c r="C7" s="283"/>
      <c r="D7" s="283"/>
      <c r="E7" s="95"/>
      <c r="F7" s="95"/>
      <c r="G7" s="96"/>
      <c r="H7" s="283"/>
      <c r="I7" s="95"/>
      <c r="J7" s="145">
        <f t="shared" si="13"/>
        <v>0</v>
      </c>
      <c r="K7" s="97"/>
      <c r="L7" s="283"/>
      <c r="M7" s="299">
        <f t="shared" si="14"/>
        <v>0</v>
      </c>
      <c r="N7" s="97"/>
      <c r="O7" s="97"/>
      <c r="P7" s="95">
        <v>21.25</v>
      </c>
      <c r="Q7" s="95"/>
      <c r="R7" s="145">
        <f t="shared" si="0"/>
        <v>0</v>
      </c>
      <c r="S7" s="200">
        <f t="shared" si="1"/>
        <v>0</v>
      </c>
      <c r="T7" s="145">
        <f t="shared" si="2"/>
        <v>0</v>
      </c>
      <c r="U7" s="96">
        <f t="array" ref="U7">IF(F7="Ruim",IFERROR(INDEX('EQUIPAMENTOS_EFICIENTES (BDD)'!O:O,MATCH(1,('EQUIPAMENTOS_EFICIENTES (BDD)'!O:O=D7)*('EQUIPAMENTOS_EFICIENTES (BDD)'!T:T=E7),0)),""),D7)</f>
        <v>0</v>
      </c>
      <c r="V7" s="96">
        <f t="shared" si="3"/>
        <v>0</v>
      </c>
      <c r="W7" s="95">
        <f t="array" ref="W7">IF(F7="Ruim",IFERROR(INDEX('EQUIPAMENTOS_EFICIENTES (BDD)'!Q:Q,MATCH(1,('EQUIPAMENTOS_EFICIENTES (BDD)'!O:O=D7)*('EQUIPAMENTOS_EFICIENTES (BDD)'!T:T=E7),0)),H7),H7)</f>
        <v>0</v>
      </c>
      <c r="X7" s="95">
        <f t="array" ref="X7">IF(F7="Ruim",IFERROR(INDEX('EQUIPAMENTOS_EFICIENTES (BDD)'!S:S,MATCH(1,('EQUIPAMENTOS_EFICIENTES (BDD)'!O:O=D7)*('EQUIPAMENTOS_EFICIENTES (BDD)'!T:T=E7),0)),I7),I7)</f>
        <v>0</v>
      </c>
      <c r="Y7" s="201">
        <f t="shared" si="4"/>
        <v>0</v>
      </c>
      <c r="Z7" s="202">
        <f t="shared" si="5"/>
        <v>0</v>
      </c>
      <c r="AA7" s="203">
        <f t="array" ref="AA7">IF(F7="Ruim",IFERROR(INDEX('EQUIPAMENTOS_EFICIENTES (BDD)'!U:U,MATCH(1,('EQUIPAMENTOS_EFICIENTES (BDD)'!O:O=D7)*('EQUIPAMENTOS_EFICIENTES (BDD)'!T:T=E7),0)),0),0)</f>
        <v>0</v>
      </c>
      <c r="AB7" s="203">
        <f t="shared" si="15"/>
        <v>0</v>
      </c>
      <c r="AC7" s="203">
        <f t="shared" si="16"/>
        <v>0</v>
      </c>
      <c r="AD7" s="201">
        <f t="shared" si="6"/>
        <v>21.25</v>
      </c>
      <c r="AE7" s="203">
        <f t="shared" si="6"/>
        <v>0</v>
      </c>
      <c r="AF7" s="201">
        <f t="shared" si="6"/>
        <v>0</v>
      </c>
      <c r="AG7" s="201">
        <f t="shared" si="7"/>
        <v>0</v>
      </c>
      <c r="AH7" s="204">
        <f t="shared" si="8"/>
        <v>0</v>
      </c>
      <c r="AI7" s="205">
        <f t="shared" si="9"/>
        <v>0</v>
      </c>
      <c r="AJ7" s="205">
        <f t="shared" si="10"/>
        <v>0</v>
      </c>
      <c r="AK7" s="205">
        <f t="shared" si="11"/>
        <v>0</v>
      </c>
      <c r="AL7" s="205">
        <f t="shared" si="12"/>
        <v>0</v>
      </c>
    </row>
    <row r="8" spans="1:38" s="64" customFormat="1" x14ac:dyDescent="0.25">
      <c r="A8" s="94" t="e">
        <f>IF(UC_DADOS!$B$2=0,"",UC_DADOS!$B$2)</f>
        <v>#N/A</v>
      </c>
      <c r="B8" s="283"/>
      <c r="C8" s="283"/>
      <c r="D8" s="283"/>
      <c r="E8" s="95"/>
      <c r="F8" s="95"/>
      <c r="G8" s="96"/>
      <c r="H8" s="283"/>
      <c r="I8" s="95"/>
      <c r="J8" s="145">
        <f t="shared" si="13"/>
        <v>0</v>
      </c>
      <c r="K8" s="97"/>
      <c r="L8" s="283"/>
      <c r="M8" s="299">
        <f t="shared" si="14"/>
        <v>0</v>
      </c>
      <c r="N8" s="97"/>
      <c r="O8" s="97"/>
      <c r="P8" s="95">
        <v>21.25</v>
      </c>
      <c r="Q8" s="95"/>
      <c r="R8" s="145">
        <f t="shared" si="0"/>
        <v>0</v>
      </c>
      <c r="S8" s="200">
        <f t="shared" si="1"/>
        <v>0</v>
      </c>
      <c r="T8" s="145">
        <f t="shared" si="2"/>
        <v>0</v>
      </c>
      <c r="U8" s="96">
        <f t="array" ref="U8">IF(F8="Ruim",IFERROR(INDEX('EQUIPAMENTOS_EFICIENTES (BDD)'!O:O,MATCH(1,('EQUIPAMENTOS_EFICIENTES (BDD)'!O:O=D8)*('EQUIPAMENTOS_EFICIENTES (BDD)'!T:T=E8),0)),""),D8)</f>
        <v>0</v>
      </c>
      <c r="V8" s="96">
        <f t="shared" si="3"/>
        <v>0</v>
      </c>
      <c r="W8" s="95">
        <f t="array" ref="W8">IF(F8="Ruim",IFERROR(INDEX('EQUIPAMENTOS_EFICIENTES (BDD)'!Q:Q,MATCH(1,('EQUIPAMENTOS_EFICIENTES (BDD)'!O:O=D8)*('EQUIPAMENTOS_EFICIENTES (BDD)'!T:T=E8),0)),H8),H8)</f>
        <v>0</v>
      </c>
      <c r="X8" s="95">
        <f t="array" ref="X8">IF(F8="Ruim",IFERROR(INDEX('EQUIPAMENTOS_EFICIENTES (BDD)'!S:S,MATCH(1,('EQUIPAMENTOS_EFICIENTES (BDD)'!O:O=D8)*('EQUIPAMENTOS_EFICIENTES (BDD)'!T:T=E8),0)),I8),I8)</f>
        <v>0</v>
      </c>
      <c r="Y8" s="201">
        <f t="shared" si="4"/>
        <v>0</v>
      </c>
      <c r="Z8" s="202">
        <f t="shared" si="5"/>
        <v>0</v>
      </c>
      <c r="AA8" s="203">
        <f t="array" ref="AA8">IF(F8="Ruim",IFERROR(INDEX('EQUIPAMENTOS_EFICIENTES (BDD)'!U:U,MATCH(1,('EQUIPAMENTOS_EFICIENTES (BDD)'!O:O=D8)*('EQUIPAMENTOS_EFICIENTES (BDD)'!T:T=E8),0)),0),0)</f>
        <v>0</v>
      </c>
      <c r="AB8" s="203">
        <f t="shared" si="15"/>
        <v>0</v>
      </c>
      <c r="AC8" s="203">
        <f t="shared" si="16"/>
        <v>0</v>
      </c>
      <c r="AD8" s="201">
        <f t="shared" si="6"/>
        <v>21.25</v>
      </c>
      <c r="AE8" s="203">
        <f t="shared" si="6"/>
        <v>0</v>
      </c>
      <c r="AF8" s="201">
        <f t="shared" si="6"/>
        <v>0</v>
      </c>
      <c r="AG8" s="201">
        <f t="shared" si="7"/>
        <v>0</v>
      </c>
      <c r="AH8" s="204">
        <f t="shared" si="8"/>
        <v>0</v>
      </c>
      <c r="AI8" s="205">
        <f t="shared" si="9"/>
        <v>0</v>
      </c>
      <c r="AJ8" s="205">
        <f t="shared" si="10"/>
        <v>0</v>
      </c>
      <c r="AK8" s="205">
        <f t="shared" si="11"/>
        <v>0</v>
      </c>
      <c r="AL8" s="205">
        <f t="shared" si="12"/>
        <v>0</v>
      </c>
    </row>
    <row r="9" spans="1:38" s="64" customFormat="1" x14ac:dyDescent="0.25">
      <c r="A9" s="94" t="e">
        <f>IF(UC_DADOS!$B$2=0,"",UC_DADOS!$B$2)</f>
        <v>#N/A</v>
      </c>
      <c r="B9" s="283"/>
      <c r="C9" s="283"/>
      <c r="D9" s="283"/>
      <c r="E9" s="95"/>
      <c r="F9" s="95"/>
      <c r="G9" s="96"/>
      <c r="H9" s="283"/>
      <c r="I9" s="95"/>
      <c r="J9" s="145">
        <f t="shared" si="13"/>
        <v>0</v>
      </c>
      <c r="K9" s="97"/>
      <c r="L9" s="283"/>
      <c r="M9" s="299">
        <f t="shared" si="14"/>
        <v>0</v>
      </c>
      <c r="N9" s="97"/>
      <c r="O9" s="97"/>
      <c r="P9" s="95">
        <v>21.25</v>
      </c>
      <c r="Q9" s="95"/>
      <c r="R9" s="145">
        <f t="shared" si="0"/>
        <v>0</v>
      </c>
      <c r="S9" s="200">
        <f t="shared" si="1"/>
        <v>0</v>
      </c>
      <c r="T9" s="145">
        <f t="shared" si="2"/>
        <v>0</v>
      </c>
      <c r="U9" s="96">
        <f t="array" ref="U9">IF(F9="Ruim",IFERROR(INDEX('EQUIPAMENTOS_EFICIENTES (BDD)'!O:O,MATCH(1,('EQUIPAMENTOS_EFICIENTES (BDD)'!O:O=D9)*('EQUIPAMENTOS_EFICIENTES (BDD)'!T:T=E9),0)),""),D9)</f>
        <v>0</v>
      </c>
      <c r="V9" s="96">
        <f t="shared" si="3"/>
        <v>0</v>
      </c>
      <c r="W9" s="95">
        <f t="array" ref="W9">IF(F9="Ruim",IFERROR(INDEX('EQUIPAMENTOS_EFICIENTES (BDD)'!Q:Q,MATCH(1,('EQUIPAMENTOS_EFICIENTES (BDD)'!O:O=D9)*('EQUIPAMENTOS_EFICIENTES (BDD)'!T:T=E9),0)),H9),H9)</f>
        <v>0</v>
      </c>
      <c r="X9" s="95">
        <f t="array" ref="X9">IF(F9="Ruim",IFERROR(INDEX('EQUIPAMENTOS_EFICIENTES (BDD)'!S:S,MATCH(1,('EQUIPAMENTOS_EFICIENTES (BDD)'!O:O=D9)*('EQUIPAMENTOS_EFICIENTES (BDD)'!T:T=E9),0)),I9),I9)</f>
        <v>0</v>
      </c>
      <c r="Y9" s="201">
        <f t="shared" si="4"/>
        <v>0</v>
      </c>
      <c r="Z9" s="202">
        <f t="shared" si="5"/>
        <v>0</v>
      </c>
      <c r="AA9" s="203">
        <f t="array" ref="AA9">IF(F9="Ruim",IFERROR(INDEX('EQUIPAMENTOS_EFICIENTES (BDD)'!U:U,MATCH(1,('EQUIPAMENTOS_EFICIENTES (BDD)'!O:O=D9)*('EQUIPAMENTOS_EFICIENTES (BDD)'!T:T=E9),0)),0),0)</f>
        <v>0</v>
      </c>
      <c r="AB9" s="203">
        <f t="shared" si="15"/>
        <v>0</v>
      </c>
      <c r="AC9" s="203">
        <f t="shared" si="16"/>
        <v>0</v>
      </c>
      <c r="AD9" s="201">
        <f t="shared" si="6"/>
        <v>21.25</v>
      </c>
      <c r="AE9" s="203">
        <f t="shared" si="6"/>
        <v>0</v>
      </c>
      <c r="AF9" s="201">
        <f t="shared" si="6"/>
        <v>0</v>
      </c>
      <c r="AG9" s="201">
        <f t="shared" si="7"/>
        <v>0</v>
      </c>
      <c r="AH9" s="204">
        <f t="shared" si="8"/>
        <v>0</v>
      </c>
      <c r="AI9" s="205">
        <f t="shared" si="9"/>
        <v>0</v>
      </c>
      <c r="AJ9" s="205">
        <f t="shared" si="10"/>
        <v>0</v>
      </c>
      <c r="AK9" s="205">
        <f t="shared" si="11"/>
        <v>0</v>
      </c>
      <c r="AL9" s="205">
        <f t="shared" si="12"/>
        <v>0</v>
      </c>
    </row>
    <row r="10" spans="1:38" s="64" customFormat="1" x14ac:dyDescent="0.25">
      <c r="A10" s="94" t="e">
        <f>IF(UC_DADOS!$B$2=0,"",UC_DADOS!$B$2)</f>
        <v>#N/A</v>
      </c>
      <c r="B10" s="283"/>
      <c r="C10" s="283"/>
      <c r="D10" s="283"/>
      <c r="E10" s="95"/>
      <c r="F10" s="95"/>
      <c r="G10" s="96"/>
      <c r="H10" s="283"/>
      <c r="I10" s="95"/>
      <c r="J10" s="145">
        <f t="shared" si="13"/>
        <v>0</v>
      </c>
      <c r="K10" s="97"/>
      <c r="L10" s="283"/>
      <c r="M10" s="299">
        <f t="shared" si="14"/>
        <v>0</v>
      </c>
      <c r="N10" s="97"/>
      <c r="O10" s="97"/>
      <c r="P10" s="95">
        <v>21.25</v>
      </c>
      <c r="Q10" s="95"/>
      <c r="R10" s="145">
        <f t="shared" si="0"/>
        <v>0</v>
      </c>
      <c r="S10" s="200">
        <f t="shared" si="1"/>
        <v>0</v>
      </c>
      <c r="T10" s="145">
        <f t="shared" si="2"/>
        <v>0</v>
      </c>
      <c r="U10" s="96">
        <f t="array" ref="U10">IF(F10="Ruim",IFERROR(INDEX('EQUIPAMENTOS_EFICIENTES (BDD)'!O:O,MATCH(1,('EQUIPAMENTOS_EFICIENTES (BDD)'!O:O=D10)*('EQUIPAMENTOS_EFICIENTES (BDD)'!T:T=E10),0)),""),D10)</f>
        <v>0</v>
      </c>
      <c r="V10" s="96">
        <f t="shared" si="3"/>
        <v>0</v>
      </c>
      <c r="W10" s="95">
        <f t="array" ref="W10">IF(F10="Ruim",IFERROR(INDEX('EQUIPAMENTOS_EFICIENTES (BDD)'!Q:Q,MATCH(1,('EQUIPAMENTOS_EFICIENTES (BDD)'!O:O=D10)*('EQUIPAMENTOS_EFICIENTES (BDD)'!T:T=E10),0)),H10),H10)</f>
        <v>0</v>
      </c>
      <c r="X10" s="95">
        <f t="array" ref="X10">IF(F10="Ruim",IFERROR(INDEX('EQUIPAMENTOS_EFICIENTES (BDD)'!S:S,MATCH(1,('EQUIPAMENTOS_EFICIENTES (BDD)'!O:O=D10)*('EQUIPAMENTOS_EFICIENTES (BDD)'!T:T=E10),0)),I10),I10)</f>
        <v>0</v>
      </c>
      <c r="Y10" s="201">
        <f t="shared" si="4"/>
        <v>0</v>
      </c>
      <c r="Z10" s="202">
        <f t="shared" si="5"/>
        <v>0</v>
      </c>
      <c r="AA10" s="203">
        <f t="array" ref="AA10">IF(F10="Ruim",IFERROR(INDEX('EQUIPAMENTOS_EFICIENTES (BDD)'!U:U,MATCH(1,('EQUIPAMENTOS_EFICIENTES (BDD)'!O:O=D10)*('EQUIPAMENTOS_EFICIENTES (BDD)'!T:T=E10),0)),0),0)</f>
        <v>0</v>
      </c>
      <c r="AB10" s="203">
        <f t="shared" si="15"/>
        <v>0</v>
      </c>
      <c r="AC10" s="203">
        <f t="shared" si="16"/>
        <v>0</v>
      </c>
      <c r="AD10" s="201">
        <f t="shared" si="6"/>
        <v>21.25</v>
      </c>
      <c r="AE10" s="203">
        <f t="shared" si="6"/>
        <v>0</v>
      </c>
      <c r="AF10" s="201">
        <f t="shared" si="6"/>
        <v>0</v>
      </c>
      <c r="AG10" s="201">
        <f t="shared" si="7"/>
        <v>0</v>
      </c>
      <c r="AH10" s="204">
        <f t="shared" si="8"/>
        <v>0</v>
      </c>
      <c r="AI10" s="205">
        <f t="shared" si="9"/>
        <v>0</v>
      </c>
      <c r="AJ10" s="205">
        <f t="shared" si="10"/>
        <v>0</v>
      </c>
      <c r="AK10" s="205">
        <f t="shared" si="11"/>
        <v>0</v>
      </c>
      <c r="AL10" s="205">
        <f t="shared" si="12"/>
        <v>0</v>
      </c>
    </row>
    <row r="11" spans="1:38" s="64" customFormat="1" x14ac:dyDescent="0.25">
      <c r="A11" s="94" t="e">
        <f>IF(UC_DADOS!$B$2=0,"",UC_DADOS!$B$2)</f>
        <v>#N/A</v>
      </c>
      <c r="B11" s="283"/>
      <c r="C11" s="283"/>
      <c r="D11" s="283"/>
      <c r="E11" s="95"/>
      <c r="F11" s="95"/>
      <c r="G11" s="96"/>
      <c r="H11" s="283"/>
      <c r="I11" s="95"/>
      <c r="J11" s="145">
        <f t="shared" si="13"/>
        <v>0</v>
      </c>
      <c r="K11" s="97"/>
      <c r="L11" s="283"/>
      <c r="M11" s="299">
        <f t="shared" si="14"/>
        <v>0</v>
      </c>
      <c r="N11" s="97"/>
      <c r="O11" s="97"/>
      <c r="P11" s="95">
        <v>21.25</v>
      </c>
      <c r="Q11" s="95"/>
      <c r="R11" s="145">
        <f t="shared" si="0"/>
        <v>0</v>
      </c>
      <c r="S11" s="200">
        <f t="shared" si="1"/>
        <v>0</v>
      </c>
      <c r="T11" s="145">
        <f t="shared" si="2"/>
        <v>0</v>
      </c>
      <c r="U11" s="96">
        <f t="array" ref="U11">IF(F11="Ruim",IFERROR(INDEX('EQUIPAMENTOS_EFICIENTES (BDD)'!O:O,MATCH(1,('EQUIPAMENTOS_EFICIENTES (BDD)'!O:O=D11)*('EQUIPAMENTOS_EFICIENTES (BDD)'!T:T=E11),0)),""),D11)</f>
        <v>0</v>
      </c>
      <c r="V11" s="96">
        <f t="shared" si="3"/>
        <v>0</v>
      </c>
      <c r="W11" s="95">
        <f t="array" ref="W11">IF(F11="Ruim",IFERROR(INDEX('EQUIPAMENTOS_EFICIENTES (BDD)'!Q:Q,MATCH(1,('EQUIPAMENTOS_EFICIENTES (BDD)'!O:O=D11)*('EQUIPAMENTOS_EFICIENTES (BDD)'!T:T=E11),0)),H11),H11)</f>
        <v>0</v>
      </c>
      <c r="X11" s="95">
        <f t="array" ref="X11">IF(F11="Ruim",IFERROR(INDEX('EQUIPAMENTOS_EFICIENTES (BDD)'!S:S,MATCH(1,('EQUIPAMENTOS_EFICIENTES (BDD)'!O:O=D11)*('EQUIPAMENTOS_EFICIENTES (BDD)'!T:T=E11),0)),I11),I11)</f>
        <v>0</v>
      </c>
      <c r="Y11" s="201">
        <f t="shared" si="4"/>
        <v>0</v>
      </c>
      <c r="Z11" s="202">
        <f t="shared" si="5"/>
        <v>0</v>
      </c>
      <c r="AA11" s="203">
        <f t="array" ref="AA11">IF(F11="Ruim",IFERROR(INDEX('EQUIPAMENTOS_EFICIENTES (BDD)'!U:U,MATCH(1,('EQUIPAMENTOS_EFICIENTES (BDD)'!O:O=D11)*('EQUIPAMENTOS_EFICIENTES (BDD)'!T:T=E11),0)),0),0)</f>
        <v>0</v>
      </c>
      <c r="AB11" s="203">
        <f t="shared" si="15"/>
        <v>0</v>
      </c>
      <c r="AC11" s="203">
        <f t="shared" si="16"/>
        <v>0</v>
      </c>
      <c r="AD11" s="201">
        <f t="shared" si="6"/>
        <v>21.25</v>
      </c>
      <c r="AE11" s="203">
        <f t="shared" si="6"/>
        <v>0</v>
      </c>
      <c r="AF11" s="201">
        <f t="shared" si="6"/>
        <v>0</v>
      </c>
      <c r="AG11" s="201">
        <f t="shared" si="7"/>
        <v>0</v>
      </c>
      <c r="AH11" s="204">
        <f t="shared" si="8"/>
        <v>0</v>
      </c>
      <c r="AI11" s="205">
        <f t="shared" si="9"/>
        <v>0</v>
      </c>
      <c r="AJ11" s="205">
        <f t="shared" si="10"/>
        <v>0</v>
      </c>
      <c r="AK11" s="205">
        <f t="shared" si="11"/>
        <v>0</v>
      </c>
      <c r="AL11" s="205">
        <f t="shared" si="12"/>
        <v>0</v>
      </c>
    </row>
    <row r="12" spans="1:38" s="64" customFormat="1" x14ac:dyDescent="0.25">
      <c r="A12" s="94" t="e">
        <f>IF(UC_DADOS!$B$2=0,"",UC_DADOS!$B$2)</f>
        <v>#N/A</v>
      </c>
      <c r="B12" s="283"/>
      <c r="C12" s="283"/>
      <c r="D12" s="283"/>
      <c r="E12" s="95"/>
      <c r="F12" s="95"/>
      <c r="G12" s="96"/>
      <c r="H12" s="283"/>
      <c r="I12" s="95"/>
      <c r="J12" s="145">
        <f t="shared" si="13"/>
        <v>0</v>
      </c>
      <c r="K12" s="97"/>
      <c r="L12" s="283"/>
      <c r="M12" s="299">
        <f t="shared" si="14"/>
        <v>0</v>
      </c>
      <c r="N12" s="97"/>
      <c r="O12" s="97"/>
      <c r="P12" s="95">
        <v>21.25</v>
      </c>
      <c r="Q12" s="95"/>
      <c r="R12" s="145">
        <f t="shared" si="0"/>
        <v>0</v>
      </c>
      <c r="S12" s="200">
        <f t="shared" si="1"/>
        <v>0</v>
      </c>
      <c r="T12" s="145">
        <f t="shared" si="2"/>
        <v>0</v>
      </c>
      <c r="U12" s="96">
        <f t="array" ref="U12">IF(F12="Ruim",IFERROR(INDEX('EQUIPAMENTOS_EFICIENTES (BDD)'!O:O,MATCH(1,('EQUIPAMENTOS_EFICIENTES (BDD)'!O:O=D12)*('EQUIPAMENTOS_EFICIENTES (BDD)'!T:T=E12),0)),""),D12)</f>
        <v>0</v>
      </c>
      <c r="V12" s="96">
        <f t="shared" si="3"/>
        <v>0</v>
      </c>
      <c r="W12" s="95">
        <f t="array" ref="W12">IF(F12="Ruim",IFERROR(INDEX('EQUIPAMENTOS_EFICIENTES (BDD)'!Q:Q,MATCH(1,('EQUIPAMENTOS_EFICIENTES (BDD)'!O:O=D12)*('EQUIPAMENTOS_EFICIENTES (BDD)'!T:T=E12),0)),H12),H12)</f>
        <v>0</v>
      </c>
      <c r="X12" s="95">
        <f t="array" ref="X12">IF(F12="Ruim",IFERROR(INDEX('EQUIPAMENTOS_EFICIENTES (BDD)'!S:S,MATCH(1,('EQUIPAMENTOS_EFICIENTES (BDD)'!O:O=D12)*('EQUIPAMENTOS_EFICIENTES (BDD)'!T:T=E12),0)),I12),I12)</f>
        <v>0</v>
      </c>
      <c r="Y12" s="201">
        <f t="shared" si="4"/>
        <v>0</v>
      </c>
      <c r="Z12" s="202">
        <f t="shared" si="5"/>
        <v>0</v>
      </c>
      <c r="AA12" s="203">
        <f t="array" ref="AA12">IF(F12="Ruim",IFERROR(INDEX('EQUIPAMENTOS_EFICIENTES (BDD)'!U:U,MATCH(1,('EQUIPAMENTOS_EFICIENTES (BDD)'!O:O=D12)*('EQUIPAMENTOS_EFICIENTES (BDD)'!T:T=E12),0)),0),0)</f>
        <v>0</v>
      </c>
      <c r="AB12" s="203">
        <f t="shared" si="15"/>
        <v>0</v>
      </c>
      <c r="AC12" s="203">
        <f t="shared" si="16"/>
        <v>0</v>
      </c>
      <c r="AD12" s="201">
        <f t="shared" si="6"/>
        <v>21.25</v>
      </c>
      <c r="AE12" s="203">
        <f t="shared" si="6"/>
        <v>0</v>
      </c>
      <c r="AF12" s="201">
        <f t="shared" si="6"/>
        <v>0</v>
      </c>
      <c r="AG12" s="201">
        <f t="shared" si="7"/>
        <v>0</v>
      </c>
      <c r="AH12" s="204">
        <f t="shared" si="8"/>
        <v>0</v>
      </c>
      <c r="AI12" s="205">
        <f t="shared" si="9"/>
        <v>0</v>
      </c>
      <c r="AJ12" s="205">
        <f t="shared" si="10"/>
        <v>0</v>
      </c>
      <c r="AK12" s="205">
        <f t="shared" si="11"/>
        <v>0</v>
      </c>
      <c r="AL12" s="205">
        <f t="shared" si="12"/>
        <v>0</v>
      </c>
    </row>
    <row r="13" spans="1:38" s="64" customFormat="1" x14ac:dyDescent="0.25">
      <c r="A13" s="94" t="e">
        <f>IF(UC_DADOS!$B$2=0,"",UC_DADOS!$B$2)</f>
        <v>#N/A</v>
      </c>
      <c r="B13" s="283"/>
      <c r="C13" s="283"/>
      <c r="D13" s="283"/>
      <c r="E13" s="95"/>
      <c r="F13" s="95"/>
      <c r="G13" s="96"/>
      <c r="H13" s="283"/>
      <c r="I13" s="95"/>
      <c r="J13" s="145">
        <f t="shared" si="13"/>
        <v>0</v>
      </c>
      <c r="K13" s="97"/>
      <c r="L13" s="283"/>
      <c r="M13" s="299">
        <f t="shared" si="14"/>
        <v>0</v>
      </c>
      <c r="N13" s="97"/>
      <c r="O13" s="97"/>
      <c r="P13" s="95">
        <v>21.25</v>
      </c>
      <c r="Q13" s="95"/>
      <c r="R13" s="145">
        <f t="shared" si="0"/>
        <v>0</v>
      </c>
      <c r="S13" s="200">
        <f t="shared" si="1"/>
        <v>0</v>
      </c>
      <c r="T13" s="145">
        <f t="shared" si="2"/>
        <v>0</v>
      </c>
      <c r="U13" s="96">
        <f t="array" ref="U13">IF(F13="Ruim",IFERROR(INDEX('EQUIPAMENTOS_EFICIENTES (BDD)'!O:O,MATCH(1,('EQUIPAMENTOS_EFICIENTES (BDD)'!O:O=D13)*('EQUIPAMENTOS_EFICIENTES (BDD)'!T:T=E13),0)),""),D13)</f>
        <v>0</v>
      </c>
      <c r="V13" s="96">
        <f t="shared" si="3"/>
        <v>0</v>
      </c>
      <c r="W13" s="95">
        <f t="array" ref="W13">IF(F13="Ruim",IFERROR(INDEX('EQUIPAMENTOS_EFICIENTES (BDD)'!Q:Q,MATCH(1,('EQUIPAMENTOS_EFICIENTES (BDD)'!O:O=D13)*('EQUIPAMENTOS_EFICIENTES (BDD)'!T:T=E13),0)),H13),H13)</f>
        <v>0</v>
      </c>
      <c r="X13" s="95">
        <f t="array" ref="X13">IF(F13="Ruim",IFERROR(INDEX('EQUIPAMENTOS_EFICIENTES (BDD)'!S:S,MATCH(1,('EQUIPAMENTOS_EFICIENTES (BDD)'!O:O=D13)*('EQUIPAMENTOS_EFICIENTES (BDD)'!T:T=E13),0)),I13),I13)</f>
        <v>0</v>
      </c>
      <c r="Y13" s="201">
        <f t="shared" si="4"/>
        <v>0</v>
      </c>
      <c r="Z13" s="202">
        <f t="shared" si="5"/>
        <v>0</v>
      </c>
      <c r="AA13" s="203">
        <f t="array" ref="AA13">IF(F13="Ruim",IFERROR(INDEX('EQUIPAMENTOS_EFICIENTES (BDD)'!U:U,MATCH(1,('EQUIPAMENTOS_EFICIENTES (BDD)'!O:O=D13)*('EQUIPAMENTOS_EFICIENTES (BDD)'!T:T=E13),0)),0),0)</f>
        <v>0</v>
      </c>
      <c r="AB13" s="203">
        <f t="shared" si="15"/>
        <v>0</v>
      </c>
      <c r="AC13" s="203">
        <f t="shared" si="16"/>
        <v>0</v>
      </c>
      <c r="AD13" s="201">
        <f t="shared" si="6"/>
        <v>21.25</v>
      </c>
      <c r="AE13" s="203">
        <f t="shared" si="6"/>
        <v>0</v>
      </c>
      <c r="AF13" s="201">
        <f t="shared" si="6"/>
        <v>0</v>
      </c>
      <c r="AG13" s="201">
        <f t="shared" si="7"/>
        <v>0</v>
      </c>
      <c r="AH13" s="204">
        <f t="shared" si="8"/>
        <v>0</v>
      </c>
      <c r="AI13" s="205">
        <f t="shared" si="9"/>
        <v>0</v>
      </c>
      <c r="AJ13" s="205">
        <f t="shared" si="10"/>
        <v>0</v>
      </c>
      <c r="AK13" s="205">
        <f t="shared" si="11"/>
        <v>0</v>
      </c>
      <c r="AL13" s="205">
        <f t="shared" si="12"/>
        <v>0</v>
      </c>
    </row>
    <row r="14" spans="1:38" s="64" customFormat="1" x14ac:dyDescent="0.25">
      <c r="A14" s="94" t="e">
        <f>IF(UC_DADOS!$B$2=0,"",UC_DADOS!$B$2)</f>
        <v>#N/A</v>
      </c>
      <c r="B14" s="283"/>
      <c r="C14" s="283"/>
      <c r="D14" s="283"/>
      <c r="E14" s="95"/>
      <c r="F14" s="95"/>
      <c r="G14" s="96"/>
      <c r="H14" s="283"/>
      <c r="I14" s="95"/>
      <c r="J14" s="145">
        <f t="shared" si="13"/>
        <v>0</v>
      </c>
      <c r="K14" s="97"/>
      <c r="L14" s="283"/>
      <c r="M14" s="299">
        <f t="shared" si="14"/>
        <v>0</v>
      </c>
      <c r="N14" s="97"/>
      <c r="O14" s="97"/>
      <c r="P14" s="95">
        <v>21.25</v>
      </c>
      <c r="Q14" s="95"/>
      <c r="R14" s="145">
        <f t="shared" si="0"/>
        <v>0</v>
      </c>
      <c r="S14" s="200">
        <f t="shared" si="1"/>
        <v>0</v>
      </c>
      <c r="T14" s="145">
        <f t="shared" si="2"/>
        <v>0</v>
      </c>
      <c r="U14" s="96">
        <f t="array" ref="U14">IF(F14="Ruim",IFERROR(INDEX('EQUIPAMENTOS_EFICIENTES (BDD)'!O:O,MATCH(1,('EQUIPAMENTOS_EFICIENTES (BDD)'!O:O=D14)*('EQUIPAMENTOS_EFICIENTES (BDD)'!T:T=E14),0)),""),D14)</f>
        <v>0</v>
      </c>
      <c r="V14" s="96">
        <f t="shared" si="3"/>
        <v>0</v>
      </c>
      <c r="W14" s="95">
        <f t="array" ref="W14">IF(F14="Ruim",IFERROR(INDEX('EQUIPAMENTOS_EFICIENTES (BDD)'!Q:Q,MATCH(1,('EQUIPAMENTOS_EFICIENTES (BDD)'!O:O=D14)*('EQUIPAMENTOS_EFICIENTES (BDD)'!T:T=E14),0)),H14),H14)</f>
        <v>0</v>
      </c>
      <c r="X14" s="95">
        <f t="array" ref="X14">IF(F14="Ruim",IFERROR(INDEX('EQUIPAMENTOS_EFICIENTES (BDD)'!S:S,MATCH(1,('EQUIPAMENTOS_EFICIENTES (BDD)'!O:O=D14)*('EQUIPAMENTOS_EFICIENTES (BDD)'!T:T=E14),0)),I14),I14)</f>
        <v>0</v>
      </c>
      <c r="Y14" s="201">
        <f t="shared" si="4"/>
        <v>0</v>
      </c>
      <c r="Z14" s="202">
        <f t="shared" si="5"/>
        <v>0</v>
      </c>
      <c r="AA14" s="203">
        <f t="array" ref="AA14">IF(F14="Ruim",IFERROR(INDEX('EQUIPAMENTOS_EFICIENTES (BDD)'!U:U,MATCH(1,('EQUIPAMENTOS_EFICIENTES (BDD)'!O:O=D14)*('EQUIPAMENTOS_EFICIENTES (BDD)'!T:T=E14),0)),0),0)</f>
        <v>0</v>
      </c>
      <c r="AB14" s="203">
        <f t="shared" si="15"/>
        <v>0</v>
      </c>
      <c r="AC14" s="203">
        <f t="shared" si="16"/>
        <v>0</v>
      </c>
      <c r="AD14" s="201">
        <f t="shared" si="6"/>
        <v>21.25</v>
      </c>
      <c r="AE14" s="203">
        <f t="shared" si="6"/>
        <v>0</v>
      </c>
      <c r="AF14" s="201">
        <f t="shared" si="6"/>
        <v>0</v>
      </c>
      <c r="AG14" s="201">
        <f t="shared" si="7"/>
        <v>0</v>
      </c>
      <c r="AH14" s="204">
        <f t="shared" si="8"/>
        <v>0</v>
      </c>
      <c r="AI14" s="205">
        <f t="shared" si="9"/>
        <v>0</v>
      </c>
      <c r="AJ14" s="205">
        <f t="shared" si="10"/>
        <v>0</v>
      </c>
      <c r="AK14" s="205">
        <f t="shared" si="11"/>
        <v>0</v>
      </c>
      <c r="AL14" s="205">
        <f t="shared" si="12"/>
        <v>0</v>
      </c>
    </row>
    <row r="15" spans="1:38" s="64" customFormat="1" x14ac:dyDescent="0.25">
      <c r="A15" s="94" t="e">
        <f>IF(UC_DADOS!$B$2=0,"",UC_DADOS!$B$2)</f>
        <v>#N/A</v>
      </c>
      <c r="B15" s="283"/>
      <c r="C15" s="283"/>
      <c r="D15" s="283"/>
      <c r="E15" s="95"/>
      <c r="F15" s="95"/>
      <c r="G15" s="96"/>
      <c r="H15" s="283"/>
      <c r="I15" s="95"/>
      <c r="J15" s="145">
        <f t="shared" si="13"/>
        <v>0</v>
      </c>
      <c r="K15" s="97"/>
      <c r="L15" s="283"/>
      <c r="M15" s="299">
        <f t="shared" si="14"/>
        <v>0</v>
      </c>
      <c r="N15" s="97"/>
      <c r="O15" s="97"/>
      <c r="P15" s="95">
        <v>21.25</v>
      </c>
      <c r="Q15" s="95"/>
      <c r="R15" s="145">
        <f t="shared" si="0"/>
        <v>0</v>
      </c>
      <c r="S15" s="200">
        <f t="shared" si="1"/>
        <v>0</v>
      </c>
      <c r="T15" s="145">
        <f t="shared" si="2"/>
        <v>0</v>
      </c>
      <c r="U15" s="96">
        <f t="array" ref="U15">IF(F15="Ruim",IFERROR(INDEX('EQUIPAMENTOS_EFICIENTES (BDD)'!O:O,MATCH(1,('EQUIPAMENTOS_EFICIENTES (BDD)'!O:O=D15)*('EQUIPAMENTOS_EFICIENTES (BDD)'!T:T=E15),0)),""),D15)</f>
        <v>0</v>
      </c>
      <c r="V15" s="96">
        <f t="shared" si="3"/>
        <v>0</v>
      </c>
      <c r="W15" s="95">
        <f t="array" ref="W15">IF(F15="Ruim",IFERROR(INDEX('EQUIPAMENTOS_EFICIENTES (BDD)'!Q:Q,MATCH(1,('EQUIPAMENTOS_EFICIENTES (BDD)'!O:O=D15)*('EQUIPAMENTOS_EFICIENTES (BDD)'!T:T=E15),0)),H15),H15)</f>
        <v>0</v>
      </c>
      <c r="X15" s="95">
        <f t="array" ref="X15">IF(F15="Ruim",IFERROR(INDEX('EQUIPAMENTOS_EFICIENTES (BDD)'!S:S,MATCH(1,('EQUIPAMENTOS_EFICIENTES (BDD)'!O:O=D15)*('EQUIPAMENTOS_EFICIENTES (BDD)'!T:T=E15),0)),I15),I15)</f>
        <v>0</v>
      </c>
      <c r="Y15" s="201">
        <f t="shared" si="4"/>
        <v>0</v>
      </c>
      <c r="Z15" s="202">
        <f t="shared" si="5"/>
        <v>0</v>
      </c>
      <c r="AA15" s="203">
        <f t="array" ref="AA15">IF(F15="Ruim",IFERROR(INDEX('EQUIPAMENTOS_EFICIENTES (BDD)'!U:U,MATCH(1,('EQUIPAMENTOS_EFICIENTES (BDD)'!O:O=D15)*('EQUIPAMENTOS_EFICIENTES (BDD)'!T:T=E15),0)),0),0)</f>
        <v>0</v>
      </c>
      <c r="AB15" s="203">
        <f t="shared" si="15"/>
        <v>0</v>
      </c>
      <c r="AC15" s="203">
        <f t="shared" si="16"/>
        <v>0</v>
      </c>
      <c r="AD15" s="201">
        <f t="shared" si="6"/>
        <v>21.25</v>
      </c>
      <c r="AE15" s="203">
        <f t="shared" si="6"/>
        <v>0</v>
      </c>
      <c r="AF15" s="201">
        <f t="shared" si="6"/>
        <v>0</v>
      </c>
      <c r="AG15" s="201">
        <f t="shared" si="7"/>
        <v>0</v>
      </c>
      <c r="AH15" s="204">
        <f t="shared" si="8"/>
        <v>0</v>
      </c>
      <c r="AI15" s="205">
        <f t="shared" si="9"/>
        <v>0</v>
      </c>
      <c r="AJ15" s="205">
        <f t="shared" si="10"/>
        <v>0</v>
      </c>
      <c r="AK15" s="205">
        <f t="shared" si="11"/>
        <v>0</v>
      </c>
      <c r="AL15" s="205">
        <f t="shared" si="12"/>
        <v>0</v>
      </c>
    </row>
    <row r="16" spans="1:38" s="64" customFormat="1" x14ac:dyDescent="0.25">
      <c r="A16" s="94" t="e">
        <f>IF(UC_DADOS!$B$2=0,"",UC_DADOS!$B$2)</f>
        <v>#N/A</v>
      </c>
      <c r="B16" s="283"/>
      <c r="C16" s="283"/>
      <c r="D16" s="283"/>
      <c r="E16" s="95"/>
      <c r="F16" s="95"/>
      <c r="G16" s="96"/>
      <c r="H16" s="283"/>
      <c r="I16" s="95"/>
      <c r="J16" s="145">
        <f t="shared" si="13"/>
        <v>0</v>
      </c>
      <c r="K16" s="97"/>
      <c r="L16" s="283"/>
      <c r="M16" s="299">
        <f t="shared" si="14"/>
        <v>0</v>
      </c>
      <c r="N16" s="97"/>
      <c r="O16" s="97"/>
      <c r="P16" s="95">
        <v>21.25</v>
      </c>
      <c r="Q16" s="95"/>
      <c r="R16" s="145">
        <f t="shared" si="0"/>
        <v>0</v>
      </c>
      <c r="S16" s="200">
        <f t="shared" si="1"/>
        <v>0</v>
      </c>
      <c r="T16" s="145">
        <f t="shared" si="2"/>
        <v>0</v>
      </c>
      <c r="U16" s="96">
        <f t="array" ref="U16">IF(F16="Ruim",IFERROR(INDEX('EQUIPAMENTOS_EFICIENTES (BDD)'!O:O,MATCH(1,('EQUIPAMENTOS_EFICIENTES (BDD)'!O:O=D16)*('EQUIPAMENTOS_EFICIENTES (BDD)'!T:T=E16),0)),""),D16)</f>
        <v>0</v>
      </c>
      <c r="V16" s="96">
        <f t="shared" si="3"/>
        <v>0</v>
      </c>
      <c r="W16" s="95">
        <f t="array" ref="W16">IF(F16="Ruim",IFERROR(INDEX('EQUIPAMENTOS_EFICIENTES (BDD)'!Q:Q,MATCH(1,('EQUIPAMENTOS_EFICIENTES (BDD)'!O:O=D16)*('EQUIPAMENTOS_EFICIENTES (BDD)'!T:T=E16),0)),H16),H16)</f>
        <v>0</v>
      </c>
      <c r="X16" s="95">
        <f t="array" ref="X16">IF(F16="Ruim",IFERROR(INDEX('EQUIPAMENTOS_EFICIENTES (BDD)'!S:S,MATCH(1,('EQUIPAMENTOS_EFICIENTES (BDD)'!O:O=D16)*('EQUIPAMENTOS_EFICIENTES (BDD)'!T:T=E16),0)),I16),I16)</f>
        <v>0</v>
      </c>
      <c r="Y16" s="201">
        <f t="shared" si="4"/>
        <v>0</v>
      </c>
      <c r="Z16" s="202">
        <f t="shared" si="5"/>
        <v>0</v>
      </c>
      <c r="AA16" s="203">
        <f t="array" ref="AA16">IF(F16="Ruim",IFERROR(INDEX('EQUIPAMENTOS_EFICIENTES (BDD)'!U:U,MATCH(1,('EQUIPAMENTOS_EFICIENTES (BDD)'!O:O=D16)*('EQUIPAMENTOS_EFICIENTES (BDD)'!T:T=E16),0)),0),0)</f>
        <v>0</v>
      </c>
      <c r="AB16" s="203">
        <f t="shared" si="15"/>
        <v>0</v>
      </c>
      <c r="AC16" s="203">
        <f t="shared" si="16"/>
        <v>0</v>
      </c>
      <c r="AD16" s="201">
        <f t="shared" si="6"/>
        <v>21.25</v>
      </c>
      <c r="AE16" s="203">
        <f t="shared" si="6"/>
        <v>0</v>
      </c>
      <c r="AF16" s="201">
        <f t="shared" si="6"/>
        <v>0</v>
      </c>
      <c r="AG16" s="201">
        <f t="shared" si="7"/>
        <v>0</v>
      </c>
      <c r="AH16" s="204">
        <f t="shared" si="8"/>
        <v>0</v>
      </c>
      <c r="AI16" s="205">
        <f t="shared" si="9"/>
        <v>0</v>
      </c>
      <c r="AJ16" s="205">
        <f t="shared" si="10"/>
        <v>0</v>
      </c>
      <c r="AK16" s="205">
        <f t="shared" si="11"/>
        <v>0</v>
      </c>
      <c r="AL16" s="205">
        <f t="shared" si="12"/>
        <v>0</v>
      </c>
    </row>
    <row r="17" spans="1:38" s="64" customFormat="1" x14ac:dyDescent="0.25">
      <c r="A17" s="94" t="e">
        <f>IF(UC_DADOS!$B$2=0,"",UC_DADOS!$B$2)</f>
        <v>#N/A</v>
      </c>
      <c r="B17" s="283"/>
      <c r="C17" s="283"/>
      <c r="D17" s="283"/>
      <c r="E17" s="95"/>
      <c r="F17" s="95"/>
      <c r="G17" s="96"/>
      <c r="H17" s="283"/>
      <c r="I17" s="95"/>
      <c r="J17" s="145">
        <f t="shared" si="13"/>
        <v>0</v>
      </c>
      <c r="K17" s="97"/>
      <c r="L17" s="283"/>
      <c r="M17" s="299">
        <f t="shared" si="14"/>
        <v>0</v>
      </c>
      <c r="N17" s="97"/>
      <c r="O17" s="97"/>
      <c r="P17" s="95">
        <v>21.25</v>
      </c>
      <c r="Q17" s="95"/>
      <c r="R17" s="145">
        <f t="shared" si="0"/>
        <v>0</v>
      </c>
      <c r="S17" s="200">
        <f t="shared" si="1"/>
        <v>0</v>
      </c>
      <c r="T17" s="145">
        <f t="shared" si="2"/>
        <v>0</v>
      </c>
      <c r="U17" s="96">
        <f t="array" ref="U17">IF(F17="Ruim",IFERROR(INDEX('EQUIPAMENTOS_EFICIENTES (BDD)'!O:O,MATCH(1,('EQUIPAMENTOS_EFICIENTES (BDD)'!O:O=D17)*('EQUIPAMENTOS_EFICIENTES (BDD)'!T:T=E17),0)),""),D17)</f>
        <v>0</v>
      </c>
      <c r="V17" s="96">
        <f t="shared" si="3"/>
        <v>0</v>
      </c>
      <c r="W17" s="95">
        <f t="array" ref="W17">IF(F17="Ruim",IFERROR(INDEX('EQUIPAMENTOS_EFICIENTES (BDD)'!Q:Q,MATCH(1,('EQUIPAMENTOS_EFICIENTES (BDD)'!O:O=D17)*('EQUIPAMENTOS_EFICIENTES (BDD)'!T:T=E17),0)),H17),H17)</f>
        <v>0</v>
      </c>
      <c r="X17" s="95">
        <f t="array" ref="X17">IF(F17="Ruim",IFERROR(INDEX('EQUIPAMENTOS_EFICIENTES (BDD)'!S:S,MATCH(1,('EQUIPAMENTOS_EFICIENTES (BDD)'!O:O=D17)*('EQUIPAMENTOS_EFICIENTES (BDD)'!T:T=E17),0)),I17),I17)</f>
        <v>0</v>
      </c>
      <c r="Y17" s="201">
        <f t="shared" si="4"/>
        <v>0</v>
      </c>
      <c r="Z17" s="202">
        <f t="shared" si="5"/>
        <v>0</v>
      </c>
      <c r="AA17" s="203">
        <f t="array" ref="AA17">IF(F17="Ruim",IFERROR(INDEX('EQUIPAMENTOS_EFICIENTES (BDD)'!U:U,MATCH(1,('EQUIPAMENTOS_EFICIENTES (BDD)'!O:O=D17)*('EQUIPAMENTOS_EFICIENTES (BDD)'!T:T=E17),0)),0),0)</f>
        <v>0</v>
      </c>
      <c r="AB17" s="203">
        <f t="shared" si="15"/>
        <v>0</v>
      </c>
      <c r="AC17" s="203">
        <f t="shared" si="16"/>
        <v>0</v>
      </c>
      <c r="AD17" s="201">
        <f t="shared" si="6"/>
        <v>21.25</v>
      </c>
      <c r="AE17" s="203">
        <f t="shared" si="6"/>
        <v>0</v>
      </c>
      <c r="AF17" s="201">
        <f t="shared" si="6"/>
        <v>0</v>
      </c>
      <c r="AG17" s="201">
        <f t="shared" si="7"/>
        <v>0</v>
      </c>
      <c r="AH17" s="204">
        <f t="shared" si="8"/>
        <v>0</v>
      </c>
      <c r="AI17" s="205">
        <f t="shared" si="9"/>
        <v>0</v>
      </c>
      <c r="AJ17" s="205">
        <f t="shared" si="10"/>
        <v>0</v>
      </c>
      <c r="AK17" s="205">
        <f t="shared" si="11"/>
        <v>0</v>
      </c>
      <c r="AL17" s="205">
        <f t="shared" si="12"/>
        <v>0</v>
      </c>
    </row>
    <row r="18" spans="1:38" s="64" customFormat="1" x14ac:dyDescent="0.25">
      <c r="A18" s="94" t="e">
        <f>IF(UC_DADOS!$B$2=0,"",UC_DADOS!$B$2)</f>
        <v>#N/A</v>
      </c>
      <c r="B18" s="283"/>
      <c r="C18" s="283"/>
      <c r="D18" s="283"/>
      <c r="E18" s="95"/>
      <c r="F18" s="95"/>
      <c r="G18" s="96"/>
      <c r="H18" s="283"/>
      <c r="I18" s="95"/>
      <c r="J18" s="145">
        <f t="shared" si="13"/>
        <v>0</v>
      </c>
      <c r="K18" s="97"/>
      <c r="L18" s="283"/>
      <c r="M18" s="299">
        <f t="shared" si="14"/>
        <v>0</v>
      </c>
      <c r="N18" s="97"/>
      <c r="O18" s="97"/>
      <c r="P18" s="95">
        <v>21.25</v>
      </c>
      <c r="Q18" s="95"/>
      <c r="R18" s="145">
        <f t="shared" si="0"/>
        <v>0</v>
      </c>
      <c r="S18" s="200">
        <f t="shared" si="1"/>
        <v>0</v>
      </c>
      <c r="T18" s="145">
        <f t="shared" si="2"/>
        <v>0</v>
      </c>
      <c r="U18" s="96">
        <f t="array" ref="U18">IF(F18="Ruim",IFERROR(INDEX('EQUIPAMENTOS_EFICIENTES (BDD)'!O:O,MATCH(1,('EQUIPAMENTOS_EFICIENTES (BDD)'!O:O=D18)*('EQUIPAMENTOS_EFICIENTES (BDD)'!T:T=E18),0)),""),D18)</f>
        <v>0</v>
      </c>
      <c r="V18" s="96">
        <f t="shared" si="3"/>
        <v>0</v>
      </c>
      <c r="W18" s="95">
        <f t="array" ref="W18">IF(F18="Ruim",IFERROR(INDEX('EQUIPAMENTOS_EFICIENTES (BDD)'!Q:Q,MATCH(1,('EQUIPAMENTOS_EFICIENTES (BDD)'!O:O=D18)*('EQUIPAMENTOS_EFICIENTES (BDD)'!T:T=E18),0)),H18),H18)</f>
        <v>0</v>
      </c>
      <c r="X18" s="95">
        <f t="array" ref="X18">IF(F18="Ruim",IFERROR(INDEX('EQUIPAMENTOS_EFICIENTES (BDD)'!S:S,MATCH(1,('EQUIPAMENTOS_EFICIENTES (BDD)'!O:O=D18)*('EQUIPAMENTOS_EFICIENTES (BDD)'!T:T=E18),0)),I18),I18)</f>
        <v>0</v>
      </c>
      <c r="Y18" s="201">
        <f t="shared" si="4"/>
        <v>0</v>
      </c>
      <c r="Z18" s="202">
        <f t="shared" si="5"/>
        <v>0</v>
      </c>
      <c r="AA18" s="203">
        <f t="array" ref="AA18">IF(F18="Ruim",IFERROR(INDEX('EQUIPAMENTOS_EFICIENTES (BDD)'!U:U,MATCH(1,('EQUIPAMENTOS_EFICIENTES (BDD)'!O:O=D18)*('EQUIPAMENTOS_EFICIENTES (BDD)'!T:T=E18),0)),0),0)</f>
        <v>0</v>
      </c>
      <c r="AB18" s="203">
        <f t="shared" si="15"/>
        <v>0</v>
      </c>
      <c r="AC18" s="203">
        <f t="shared" si="16"/>
        <v>0</v>
      </c>
      <c r="AD18" s="201">
        <f t="shared" si="6"/>
        <v>21.25</v>
      </c>
      <c r="AE18" s="203">
        <f t="shared" si="6"/>
        <v>0</v>
      </c>
      <c r="AF18" s="201">
        <f t="shared" si="6"/>
        <v>0</v>
      </c>
      <c r="AG18" s="201">
        <f t="shared" si="7"/>
        <v>0</v>
      </c>
      <c r="AH18" s="204">
        <f t="shared" si="8"/>
        <v>0</v>
      </c>
      <c r="AI18" s="205">
        <f t="shared" si="9"/>
        <v>0</v>
      </c>
      <c r="AJ18" s="205">
        <f t="shared" si="10"/>
        <v>0</v>
      </c>
      <c r="AK18" s="205">
        <f t="shared" si="11"/>
        <v>0</v>
      </c>
      <c r="AL18" s="205">
        <f t="shared" si="12"/>
        <v>0</v>
      </c>
    </row>
    <row r="19" spans="1:38" s="64" customFormat="1" x14ac:dyDescent="0.25">
      <c r="A19" s="94" t="e">
        <f>IF(UC_DADOS!$B$2=0,"",UC_DADOS!$B$2)</f>
        <v>#N/A</v>
      </c>
      <c r="B19" s="283"/>
      <c r="C19" s="283"/>
      <c r="D19" s="283"/>
      <c r="E19" s="95"/>
      <c r="F19" s="95"/>
      <c r="G19" s="96"/>
      <c r="H19" s="283"/>
      <c r="I19" s="95"/>
      <c r="J19" s="145">
        <f t="shared" si="13"/>
        <v>0</v>
      </c>
      <c r="K19" s="97"/>
      <c r="L19" s="283"/>
      <c r="M19" s="299">
        <f t="shared" si="14"/>
        <v>0</v>
      </c>
      <c r="N19" s="97"/>
      <c r="O19" s="97"/>
      <c r="P19" s="95">
        <v>21.25</v>
      </c>
      <c r="Q19" s="95"/>
      <c r="R19" s="145">
        <f t="shared" si="0"/>
        <v>0</v>
      </c>
      <c r="S19" s="200">
        <f t="shared" si="1"/>
        <v>0</v>
      </c>
      <c r="T19" s="145">
        <f t="shared" si="2"/>
        <v>0</v>
      </c>
      <c r="U19" s="96">
        <f t="array" ref="U19">IF(F19="Ruim",IFERROR(INDEX('EQUIPAMENTOS_EFICIENTES (BDD)'!O:O,MATCH(1,('EQUIPAMENTOS_EFICIENTES (BDD)'!O:O=D19)*('EQUIPAMENTOS_EFICIENTES (BDD)'!T:T=E19),0)),""),D19)</f>
        <v>0</v>
      </c>
      <c r="V19" s="96">
        <f t="shared" si="3"/>
        <v>0</v>
      </c>
      <c r="W19" s="95">
        <f t="array" ref="W19">IF(F19="Ruim",IFERROR(INDEX('EQUIPAMENTOS_EFICIENTES (BDD)'!Q:Q,MATCH(1,('EQUIPAMENTOS_EFICIENTES (BDD)'!O:O=D19)*('EQUIPAMENTOS_EFICIENTES (BDD)'!T:T=E19),0)),H19),H19)</f>
        <v>0</v>
      </c>
      <c r="X19" s="95">
        <f t="array" ref="X19">IF(F19="Ruim",IFERROR(INDEX('EQUIPAMENTOS_EFICIENTES (BDD)'!S:S,MATCH(1,('EQUIPAMENTOS_EFICIENTES (BDD)'!O:O=D19)*('EQUIPAMENTOS_EFICIENTES (BDD)'!T:T=E19),0)),I19),I19)</f>
        <v>0</v>
      </c>
      <c r="Y19" s="201">
        <f t="shared" si="4"/>
        <v>0</v>
      </c>
      <c r="Z19" s="202">
        <f t="shared" si="5"/>
        <v>0</v>
      </c>
      <c r="AA19" s="203">
        <f t="array" ref="AA19">IF(F19="Ruim",IFERROR(INDEX('EQUIPAMENTOS_EFICIENTES (BDD)'!U:U,MATCH(1,('EQUIPAMENTOS_EFICIENTES (BDD)'!O:O=D19)*('EQUIPAMENTOS_EFICIENTES (BDD)'!T:T=E19),0)),0),0)</f>
        <v>0</v>
      </c>
      <c r="AB19" s="203">
        <f t="shared" si="15"/>
        <v>0</v>
      </c>
      <c r="AC19" s="203">
        <f t="shared" si="16"/>
        <v>0</v>
      </c>
      <c r="AD19" s="201">
        <f t="shared" ref="AD19:AD39" si="17">P19</f>
        <v>21.25</v>
      </c>
      <c r="AE19" s="203">
        <f t="shared" ref="AE19:AE39" si="18">Q19</f>
        <v>0</v>
      </c>
      <c r="AF19" s="201">
        <f t="shared" ref="AF19:AF39" si="19">R19</f>
        <v>0</v>
      </c>
      <c r="AG19" s="201">
        <f t="shared" si="7"/>
        <v>0</v>
      </c>
      <c r="AH19" s="204">
        <f t="shared" si="8"/>
        <v>0</v>
      </c>
      <c r="AI19" s="205">
        <f t="shared" si="9"/>
        <v>0</v>
      </c>
      <c r="AJ19" s="205">
        <f t="shared" si="10"/>
        <v>0</v>
      </c>
      <c r="AK19" s="205">
        <f t="shared" si="11"/>
        <v>0</v>
      </c>
      <c r="AL19" s="205">
        <f t="shared" si="12"/>
        <v>0</v>
      </c>
    </row>
    <row r="20" spans="1:38" s="64" customFormat="1" x14ac:dyDescent="0.25">
      <c r="A20" s="94" t="e">
        <f>IF(UC_DADOS!$B$2=0,"",UC_DADOS!$B$2)</f>
        <v>#N/A</v>
      </c>
      <c r="B20" s="283"/>
      <c r="C20" s="283"/>
      <c r="D20" s="283"/>
      <c r="E20" s="95"/>
      <c r="F20" s="95"/>
      <c r="G20" s="96"/>
      <c r="H20" s="283"/>
      <c r="I20" s="95"/>
      <c r="J20" s="145">
        <f t="shared" si="13"/>
        <v>0</v>
      </c>
      <c r="K20" s="97"/>
      <c r="L20" s="283"/>
      <c r="M20" s="299">
        <f t="shared" si="14"/>
        <v>0</v>
      </c>
      <c r="N20" s="97"/>
      <c r="O20" s="97"/>
      <c r="P20" s="95">
        <v>21.25</v>
      </c>
      <c r="Q20" s="95"/>
      <c r="R20" s="145">
        <f t="shared" si="0"/>
        <v>0</v>
      </c>
      <c r="S20" s="200">
        <f t="shared" si="1"/>
        <v>0</v>
      </c>
      <c r="T20" s="145">
        <f t="shared" si="2"/>
        <v>0</v>
      </c>
      <c r="U20" s="96">
        <f t="array" ref="U20">IF(F20="Ruim",IFERROR(INDEX('EQUIPAMENTOS_EFICIENTES (BDD)'!O:O,MATCH(1,('EQUIPAMENTOS_EFICIENTES (BDD)'!O:O=D20)*('EQUIPAMENTOS_EFICIENTES (BDD)'!T:T=E20),0)),""),D20)</f>
        <v>0</v>
      </c>
      <c r="V20" s="96">
        <f t="shared" si="3"/>
        <v>0</v>
      </c>
      <c r="W20" s="95">
        <f t="array" ref="W20">IF(F20="Ruim",IFERROR(INDEX('EQUIPAMENTOS_EFICIENTES (BDD)'!Q:Q,MATCH(1,('EQUIPAMENTOS_EFICIENTES (BDD)'!O:O=D20)*('EQUIPAMENTOS_EFICIENTES (BDD)'!T:T=E20),0)),H20),H20)</f>
        <v>0</v>
      </c>
      <c r="X20" s="95">
        <f t="array" ref="X20">IF(F20="Ruim",IFERROR(INDEX('EQUIPAMENTOS_EFICIENTES (BDD)'!S:S,MATCH(1,('EQUIPAMENTOS_EFICIENTES (BDD)'!O:O=D20)*('EQUIPAMENTOS_EFICIENTES (BDD)'!T:T=E20),0)),I20),I20)</f>
        <v>0</v>
      </c>
      <c r="Y20" s="201">
        <f t="shared" si="4"/>
        <v>0</v>
      </c>
      <c r="Z20" s="202">
        <f t="shared" si="5"/>
        <v>0</v>
      </c>
      <c r="AA20" s="203">
        <f t="array" ref="AA20">IF(F20="Ruim",IFERROR(INDEX('EQUIPAMENTOS_EFICIENTES (BDD)'!U:U,MATCH(1,('EQUIPAMENTOS_EFICIENTES (BDD)'!O:O=D20)*('EQUIPAMENTOS_EFICIENTES (BDD)'!T:T=E20),0)),0),0)</f>
        <v>0</v>
      </c>
      <c r="AB20" s="203">
        <f t="shared" si="15"/>
        <v>0</v>
      </c>
      <c r="AC20" s="203">
        <f t="shared" si="16"/>
        <v>0</v>
      </c>
      <c r="AD20" s="201">
        <f t="shared" si="17"/>
        <v>21.25</v>
      </c>
      <c r="AE20" s="203">
        <f t="shared" si="18"/>
        <v>0</v>
      </c>
      <c r="AF20" s="201">
        <f t="shared" si="19"/>
        <v>0</v>
      </c>
      <c r="AG20" s="201">
        <f t="shared" si="7"/>
        <v>0</v>
      </c>
      <c r="AH20" s="204">
        <f t="shared" si="8"/>
        <v>0</v>
      </c>
      <c r="AI20" s="205">
        <f t="shared" si="9"/>
        <v>0</v>
      </c>
      <c r="AJ20" s="205">
        <f t="shared" si="10"/>
        <v>0</v>
      </c>
      <c r="AK20" s="205">
        <f t="shared" si="11"/>
        <v>0</v>
      </c>
      <c r="AL20" s="205">
        <f t="shared" si="12"/>
        <v>0</v>
      </c>
    </row>
    <row r="21" spans="1:38" s="64" customFormat="1" x14ac:dyDescent="0.25">
      <c r="A21" s="94" t="e">
        <f>IF(UC_DADOS!$B$2=0,"",UC_DADOS!$B$2)</f>
        <v>#N/A</v>
      </c>
      <c r="B21" s="283"/>
      <c r="C21" s="283"/>
      <c r="D21" s="283"/>
      <c r="E21" s="95"/>
      <c r="F21" s="95"/>
      <c r="G21" s="96"/>
      <c r="H21" s="283"/>
      <c r="I21" s="95"/>
      <c r="J21" s="145">
        <f t="shared" si="13"/>
        <v>0</v>
      </c>
      <c r="K21" s="97"/>
      <c r="L21" s="283"/>
      <c r="M21" s="299">
        <f t="shared" si="14"/>
        <v>0</v>
      </c>
      <c r="N21" s="97"/>
      <c r="O21" s="97"/>
      <c r="P21" s="95">
        <v>21.25</v>
      </c>
      <c r="Q21" s="95"/>
      <c r="R21" s="145">
        <f t="shared" si="0"/>
        <v>0</v>
      </c>
      <c r="S21" s="200">
        <f t="shared" si="1"/>
        <v>0</v>
      </c>
      <c r="T21" s="145">
        <f t="shared" si="2"/>
        <v>0</v>
      </c>
      <c r="U21" s="96">
        <f t="array" ref="U21">IF(F21="Ruim",IFERROR(INDEX('EQUIPAMENTOS_EFICIENTES (BDD)'!O:O,MATCH(1,('EQUIPAMENTOS_EFICIENTES (BDD)'!O:O=D21)*('EQUIPAMENTOS_EFICIENTES (BDD)'!T:T=E21),0)),""),D21)</f>
        <v>0</v>
      </c>
      <c r="V21" s="96">
        <f t="shared" si="3"/>
        <v>0</v>
      </c>
      <c r="W21" s="95">
        <f t="array" ref="W21">IF(F21="Ruim",IFERROR(INDEX('EQUIPAMENTOS_EFICIENTES (BDD)'!Q:Q,MATCH(1,('EQUIPAMENTOS_EFICIENTES (BDD)'!O:O=D21)*('EQUIPAMENTOS_EFICIENTES (BDD)'!T:T=E21),0)),H21),H21)</f>
        <v>0</v>
      </c>
      <c r="X21" s="95">
        <f t="array" ref="X21">IF(F21="Ruim",IFERROR(INDEX('EQUIPAMENTOS_EFICIENTES (BDD)'!S:S,MATCH(1,('EQUIPAMENTOS_EFICIENTES (BDD)'!O:O=D21)*('EQUIPAMENTOS_EFICIENTES (BDD)'!T:T=E21),0)),I21),I21)</f>
        <v>0</v>
      </c>
      <c r="Y21" s="201">
        <f t="shared" si="4"/>
        <v>0</v>
      </c>
      <c r="Z21" s="202">
        <f t="shared" si="5"/>
        <v>0</v>
      </c>
      <c r="AA21" s="203">
        <f t="array" ref="AA21">IF(F21="Ruim",IFERROR(INDEX('EQUIPAMENTOS_EFICIENTES (BDD)'!U:U,MATCH(1,('EQUIPAMENTOS_EFICIENTES (BDD)'!O:O=D21)*('EQUIPAMENTOS_EFICIENTES (BDD)'!T:T=E21),0)),0),0)</f>
        <v>0</v>
      </c>
      <c r="AB21" s="203">
        <f t="shared" si="15"/>
        <v>0</v>
      </c>
      <c r="AC21" s="203">
        <f t="shared" si="16"/>
        <v>0</v>
      </c>
      <c r="AD21" s="201">
        <f t="shared" si="17"/>
        <v>21.25</v>
      </c>
      <c r="AE21" s="203">
        <f t="shared" si="18"/>
        <v>0</v>
      </c>
      <c r="AF21" s="201">
        <f t="shared" si="19"/>
        <v>0</v>
      </c>
      <c r="AG21" s="201">
        <f t="shared" si="7"/>
        <v>0</v>
      </c>
      <c r="AH21" s="204">
        <f t="shared" si="8"/>
        <v>0</v>
      </c>
      <c r="AI21" s="205">
        <f t="shared" si="9"/>
        <v>0</v>
      </c>
      <c r="AJ21" s="205">
        <f t="shared" si="10"/>
        <v>0</v>
      </c>
      <c r="AK21" s="205">
        <f t="shared" si="11"/>
        <v>0</v>
      </c>
      <c r="AL21" s="205">
        <f t="shared" si="12"/>
        <v>0</v>
      </c>
    </row>
    <row r="22" spans="1:38" s="64" customFormat="1" x14ac:dyDescent="0.25">
      <c r="A22" s="94" t="e">
        <f>IF(UC_DADOS!$B$2=0,"",UC_DADOS!$B$2)</f>
        <v>#N/A</v>
      </c>
      <c r="B22" s="283"/>
      <c r="C22" s="283"/>
      <c r="D22" s="283"/>
      <c r="E22" s="95"/>
      <c r="F22" s="95"/>
      <c r="G22" s="96"/>
      <c r="H22" s="283"/>
      <c r="I22" s="95"/>
      <c r="J22" s="145">
        <f t="shared" si="13"/>
        <v>0</v>
      </c>
      <c r="K22" s="97"/>
      <c r="L22" s="283"/>
      <c r="M22" s="299">
        <f t="shared" si="14"/>
        <v>0</v>
      </c>
      <c r="N22" s="97"/>
      <c r="O22" s="97"/>
      <c r="P22" s="95">
        <v>21.25</v>
      </c>
      <c r="Q22" s="95"/>
      <c r="R22" s="145">
        <f t="shared" si="0"/>
        <v>0</v>
      </c>
      <c r="S22" s="200">
        <f t="shared" si="1"/>
        <v>0</v>
      </c>
      <c r="T22" s="145">
        <f t="shared" si="2"/>
        <v>0</v>
      </c>
      <c r="U22" s="96">
        <f t="array" ref="U22">IF(F22="Ruim",IFERROR(INDEX('EQUIPAMENTOS_EFICIENTES (BDD)'!O:O,MATCH(1,('EQUIPAMENTOS_EFICIENTES (BDD)'!O:O=D22)*('EQUIPAMENTOS_EFICIENTES (BDD)'!T:T=E22),0)),""),D22)</f>
        <v>0</v>
      </c>
      <c r="V22" s="96">
        <f t="shared" si="3"/>
        <v>0</v>
      </c>
      <c r="W22" s="95">
        <f t="array" ref="W22">IF(F22="Ruim",IFERROR(INDEX('EQUIPAMENTOS_EFICIENTES (BDD)'!Q:Q,MATCH(1,('EQUIPAMENTOS_EFICIENTES (BDD)'!O:O=D22)*('EQUIPAMENTOS_EFICIENTES (BDD)'!T:T=E22),0)),H22),H22)</f>
        <v>0</v>
      </c>
      <c r="X22" s="95">
        <f t="array" ref="X22">IF(F22="Ruim",IFERROR(INDEX('EQUIPAMENTOS_EFICIENTES (BDD)'!S:S,MATCH(1,('EQUIPAMENTOS_EFICIENTES (BDD)'!O:O=D22)*('EQUIPAMENTOS_EFICIENTES (BDD)'!T:T=E22),0)),I22),I22)</f>
        <v>0</v>
      </c>
      <c r="Y22" s="201">
        <f t="shared" si="4"/>
        <v>0</v>
      </c>
      <c r="Z22" s="202">
        <f t="shared" si="5"/>
        <v>0</v>
      </c>
      <c r="AA22" s="203">
        <f t="array" ref="AA22">IF(F22="Ruim",IFERROR(INDEX('EQUIPAMENTOS_EFICIENTES (BDD)'!U:U,MATCH(1,('EQUIPAMENTOS_EFICIENTES (BDD)'!O:O=D22)*('EQUIPAMENTOS_EFICIENTES (BDD)'!T:T=E22),0)),0),0)</f>
        <v>0</v>
      </c>
      <c r="AB22" s="203">
        <f t="shared" si="15"/>
        <v>0</v>
      </c>
      <c r="AC22" s="203">
        <f t="shared" si="16"/>
        <v>0</v>
      </c>
      <c r="AD22" s="201">
        <f t="shared" si="17"/>
        <v>21.25</v>
      </c>
      <c r="AE22" s="203">
        <f t="shared" si="18"/>
        <v>0</v>
      </c>
      <c r="AF22" s="201">
        <f t="shared" si="19"/>
        <v>0</v>
      </c>
      <c r="AG22" s="201">
        <f t="shared" si="7"/>
        <v>0</v>
      </c>
      <c r="AH22" s="204">
        <f t="shared" si="8"/>
        <v>0</v>
      </c>
      <c r="AI22" s="205">
        <f t="shared" si="9"/>
        <v>0</v>
      </c>
      <c r="AJ22" s="205">
        <f t="shared" si="10"/>
        <v>0</v>
      </c>
      <c r="AK22" s="205">
        <f t="shared" si="11"/>
        <v>0</v>
      </c>
      <c r="AL22" s="205">
        <f t="shared" si="12"/>
        <v>0</v>
      </c>
    </row>
    <row r="23" spans="1:38" s="64" customFormat="1" x14ac:dyDescent="0.25">
      <c r="A23" s="94" t="e">
        <f>IF(UC_DADOS!$B$2=0,"",UC_DADOS!$B$2)</f>
        <v>#N/A</v>
      </c>
      <c r="B23" s="283"/>
      <c r="C23" s="283"/>
      <c r="D23" s="283"/>
      <c r="E23" s="95"/>
      <c r="F23" s="95"/>
      <c r="G23" s="96"/>
      <c r="H23" s="283"/>
      <c r="I23" s="95"/>
      <c r="J23" s="145">
        <f t="shared" si="13"/>
        <v>0</v>
      </c>
      <c r="K23" s="97"/>
      <c r="L23" s="283"/>
      <c r="M23" s="299">
        <f t="shared" si="14"/>
        <v>0</v>
      </c>
      <c r="N23" s="97"/>
      <c r="O23" s="97"/>
      <c r="P23" s="95">
        <v>21.25</v>
      </c>
      <c r="Q23" s="95"/>
      <c r="R23" s="145">
        <f t="shared" si="0"/>
        <v>0</v>
      </c>
      <c r="S23" s="200">
        <f t="shared" si="1"/>
        <v>0</v>
      </c>
      <c r="T23" s="145">
        <f t="shared" si="2"/>
        <v>0</v>
      </c>
      <c r="U23" s="96">
        <f t="array" ref="U23">IF(F23="Ruim",IFERROR(INDEX('EQUIPAMENTOS_EFICIENTES (BDD)'!O:O,MATCH(1,('EQUIPAMENTOS_EFICIENTES (BDD)'!O:O=D23)*('EQUIPAMENTOS_EFICIENTES (BDD)'!T:T=E23),0)),""),D23)</f>
        <v>0</v>
      </c>
      <c r="V23" s="96">
        <f t="shared" si="3"/>
        <v>0</v>
      </c>
      <c r="W23" s="95">
        <f t="array" ref="W23">IF(F23="Ruim",IFERROR(INDEX('EQUIPAMENTOS_EFICIENTES (BDD)'!Q:Q,MATCH(1,('EQUIPAMENTOS_EFICIENTES (BDD)'!O:O=D23)*('EQUIPAMENTOS_EFICIENTES (BDD)'!T:T=E23),0)),H23),H23)</f>
        <v>0</v>
      </c>
      <c r="X23" s="95">
        <f t="array" ref="X23">IF(F23="Ruim",IFERROR(INDEX('EQUIPAMENTOS_EFICIENTES (BDD)'!S:S,MATCH(1,('EQUIPAMENTOS_EFICIENTES (BDD)'!O:O=D23)*('EQUIPAMENTOS_EFICIENTES (BDD)'!T:T=E23),0)),I23),I23)</f>
        <v>0</v>
      </c>
      <c r="Y23" s="201">
        <f t="shared" si="4"/>
        <v>0</v>
      </c>
      <c r="Z23" s="202">
        <f t="shared" si="5"/>
        <v>0</v>
      </c>
      <c r="AA23" s="203">
        <f t="array" ref="AA23">IF(F23="Ruim",IFERROR(INDEX('EQUIPAMENTOS_EFICIENTES (BDD)'!U:U,MATCH(1,('EQUIPAMENTOS_EFICIENTES (BDD)'!O:O=D23)*('EQUIPAMENTOS_EFICIENTES (BDD)'!T:T=E23),0)),0),0)</f>
        <v>0</v>
      </c>
      <c r="AB23" s="203">
        <f t="shared" si="15"/>
        <v>0</v>
      </c>
      <c r="AC23" s="203">
        <f t="shared" si="16"/>
        <v>0</v>
      </c>
      <c r="AD23" s="201">
        <f t="shared" si="17"/>
        <v>21.25</v>
      </c>
      <c r="AE23" s="203">
        <f t="shared" si="18"/>
        <v>0</v>
      </c>
      <c r="AF23" s="201">
        <f t="shared" si="19"/>
        <v>0</v>
      </c>
      <c r="AG23" s="201">
        <f t="shared" si="7"/>
        <v>0</v>
      </c>
      <c r="AH23" s="204">
        <f t="shared" si="8"/>
        <v>0</v>
      </c>
      <c r="AI23" s="205">
        <f t="shared" si="9"/>
        <v>0</v>
      </c>
      <c r="AJ23" s="205">
        <f t="shared" si="10"/>
        <v>0</v>
      </c>
      <c r="AK23" s="205">
        <f t="shared" si="11"/>
        <v>0</v>
      </c>
      <c r="AL23" s="205">
        <f t="shared" si="12"/>
        <v>0</v>
      </c>
    </row>
    <row r="24" spans="1:38" s="64" customFormat="1" x14ac:dyDescent="0.25">
      <c r="A24" s="94" t="e">
        <f>IF(UC_DADOS!$B$2=0,"",UC_DADOS!$B$2)</f>
        <v>#N/A</v>
      </c>
      <c r="B24" s="283"/>
      <c r="C24" s="283"/>
      <c r="D24" s="283"/>
      <c r="E24" s="95"/>
      <c r="F24" s="95"/>
      <c r="G24" s="96"/>
      <c r="H24" s="283"/>
      <c r="I24" s="95"/>
      <c r="J24" s="145">
        <f t="shared" si="13"/>
        <v>0</v>
      </c>
      <c r="K24" s="97"/>
      <c r="L24" s="283"/>
      <c r="M24" s="299">
        <f t="shared" si="14"/>
        <v>0</v>
      </c>
      <c r="N24" s="97"/>
      <c r="O24" s="97"/>
      <c r="P24" s="95">
        <v>21.25</v>
      </c>
      <c r="Q24" s="95"/>
      <c r="R24" s="145">
        <f t="shared" si="0"/>
        <v>0</v>
      </c>
      <c r="S24" s="200">
        <f t="shared" si="1"/>
        <v>0</v>
      </c>
      <c r="T24" s="145">
        <f t="shared" si="2"/>
        <v>0</v>
      </c>
      <c r="U24" s="96">
        <f t="array" ref="U24">IF(F24="Ruim",IFERROR(INDEX('EQUIPAMENTOS_EFICIENTES (BDD)'!O:O,MATCH(1,('EQUIPAMENTOS_EFICIENTES (BDD)'!O:O=D24)*('EQUIPAMENTOS_EFICIENTES (BDD)'!T:T=E24),0)),""),D24)</f>
        <v>0</v>
      </c>
      <c r="V24" s="96">
        <f t="shared" si="3"/>
        <v>0</v>
      </c>
      <c r="W24" s="95">
        <f t="array" ref="W24">IF(F24="Ruim",IFERROR(INDEX('EQUIPAMENTOS_EFICIENTES (BDD)'!Q:Q,MATCH(1,('EQUIPAMENTOS_EFICIENTES (BDD)'!O:O=D24)*('EQUIPAMENTOS_EFICIENTES (BDD)'!T:T=E24),0)),H24),H24)</f>
        <v>0</v>
      </c>
      <c r="X24" s="95">
        <f t="array" ref="X24">IF(F24="Ruim",IFERROR(INDEX('EQUIPAMENTOS_EFICIENTES (BDD)'!S:S,MATCH(1,('EQUIPAMENTOS_EFICIENTES (BDD)'!O:O=D24)*('EQUIPAMENTOS_EFICIENTES (BDD)'!T:T=E24),0)),I24),I24)</f>
        <v>0</v>
      </c>
      <c r="Y24" s="201">
        <f t="shared" si="4"/>
        <v>0</v>
      </c>
      <c r="Z24" s="202">
        <f t="shared" si="5"/>
        <v>0</v>
      </c>
      <c r="AA24" s="203">
        <f t="array" ref="AA24">IF(F24="Ruim",IFERROR(INDEX('EQUIPAMENTOS_EFICIENTES (BDD)'!U:U,MATCH(1,('EQUIPAMENTOS_EFICIENTES (BDD)'!O:O=D24)*('EQUIPAMENTOS_EFICIENTES (BDD)'!T:T=E24),0)),0),0)</f>
        <v>0</v>
      </c>
      <c r="AB24" s="203">
        <f t="shared" si="15"/>
        <v>0</v>
      </c>
      <c r="AC24" s="203">
        <f t="shared" si="16"/>
        <v>0</v>
      </c>
      <c r="AD24" s="201">
        <f t="shared" si="17"/>
        <v>21.25</v>
      </c>
      <c r="AE24" s="203">
        <f t="shared" si="18"/>
        <v>0</v>
      </c>
      <c r="AF24" s="201">
        <f t="shared" si="19"/>
        <v>0</v>
      </c>
      <c r="AG24" s="201">
        <f t="shared" si="7"/>
        <v>0</v>
      </c>
      <c r="AH24" s="204">
        <f t="shared" si="8"/>
        <v>0</v>
      </c>
      <c r="AI24" s="205">
        <f t="shared" si="9"/>
        <v>0</v>
      </c>
      <c r="AJ24" s="205">
        <f t="shared" si="10"/>
        <v>0</v>
      </c>
      <c r="AK24" s="205">
        <f t="shared" si="11"/>
        <v>0</v>
      </c>
      <c r="AL24" s="205">
        <f t="shared" si="12"/>
        <v>0</v>
      </c>
    </row>
    <row r="25" spans="1:38" s="64" customFormat="1" x14ac:dyDescent="0.25">
      <c r="A25" s="94" t="e">
        <f>IF(UC_DADOS!$B$2=0,"",UC_DADOS!$B$2)</f>
        <v>#N/A</v>
      </c>
      <c r="B25" s="283"/>
      <c r="C25" s="283"/>
      <c r="D25" s="283"/>
      <c r="E25" s="95"/>
      <c r="F25" s="95"/>
      <c r="G25" s="96"/>
      <c r="H25" s="283"/>
      <c r="I25" s="95"/>
      <c r="J25" s="145">
        <f t="shared" si="13"/>
        <v>0</v>
      </c>
      <c r="K25" s="97"/>
      <c r="L25" s="283"/>
      <c r="M25" s="299">
        <f t="shared" si="14"/>
        <v>0</v>
      </c>
      <c r="N25" s="97"/>
      <c r="O25" s="97"/>
      <c r="P25" s="95">
        <v>21.25</v>
      </c>
      <c r="Q25" s="95"/>
      <c r="R25" s="145">
        <f t="shared" si="0"/>
        <v>0</v>
      </c>
      <c r="S25" s="200">
        <f t="shared" si="1"/>
        <v>0</v>
      </c>
      <c r="T25" s="145">
        <f t="shared" si="2"/>
        <v>0</v>
      </c>
      <c r="U25" s="96">
        <f t="array" ref="U25">IF(F25="Ruim",IFERROR(INDEX('EQUIPAMENTOS_EFICIENTES (BDD)'!O:O,MATCH(1,('EQUIPAMENTOS_EFICIENTES (BDD)'!O:O=D25)*('EQUIPAMENTOS_EFICIENTES (BDD)'!T:T=E25),0)),""),D25)</f>
        <v>0</v>
      </c>
      <c r="V25" s="96">
        <f t="shared" si="3"/>
        <v>0</v>
      </c>
      <c r="W25" s="95">
        <f t="array" ref="W25">IF(F25="Ruim",IFERROR(INDEX('EQUIPAMENTOS_EFICIENTES (BDD)'!Q:Q,MATCH(1,('EQUIPAMENTOS_EFICIENTES (BDD)'!O:O=D25)*('EQUIPAMENTOS_EFICIENTES (BDD)'!T:T=E25),0)),H25),H25)</f>
        <v>0</v>
      </c>
      <c r="X25" s="95">
        <f t="array" ref="X25">IF(F25="Ruim",IFERROR(INDEX('EQUIPAMENTOS_EFICIENTES (BDD)'!S:S,MATCH(1,('EQUIPAMENTOS_EFICIENTES (BDD)'!O:O=D25)*('EQUIPAMENTOS_EFICIENTES (BDD)'!T:T=E25),0)),I25),I25)</f>
        <v>0</v>
      </c>
      <c r="Y25" s="201">
        <f t="shared" si="4"/>
        <v>0</v>
      </c>
      <c r="Z25" s="202">
        <f t="shared" si="5"/>
        <v>0</v>
      </c>
      <c r="AA25" s="203">
        <f t="array" ref="AA25">IF(F25="Ruim",IFERROR(INDEX('EQUIPAMENTOS_EFICIENTES (BDD)'!U:U,MATCH(1,('EQUIPAMENTOS_EFICIENTES (BDD)'!O:O=D25)*('EQUIPAMENTOS_EFICIENTES (BDD)'!T:T=E25),0)),0),0)</f>
        <v>0</v>
      </c>
      <c r="AB25" s="203">
        <f t="shared" si="15"/>
        <v>0</v>
      </c>
      <c r="AC25" s="203">
        <f t="shared" si="16"/>
        <v>0</v>
      </c>
      <c r="AD25" s="201">
        <f t="shared" si="17"/>
        <v>21.25</v>
      </c>
      <c r="AE25" s="203">
        <f t="shared" si="18"/>
        <v>0</v>
      </c>
      <c r="AF25" s="201">
        <f t="shared" si="19"/>
        <v>0</v>
      </c>
      <c r="AG25" s="201">
        <f t="shared" si="7"/>
        <v>0</v>
      </c>
      <c r="AH25" s="204">
        <f t="shared" si="8"/>
        <v>0</v>
      </c>
      <c r="AI25" s="205">
        <f t="shared" si="9"/>
        <v>0</v>
      </c>
      <c r="AJ25" s="205">
        <f t="shared" si="10"/>
        <v>0</v>
      </c>
      <c r="AK25" s="205">
        <f t="shared" si="11"/>
        <v>0</v>
      </c>
      <c r="AL25" s="205">
        <f t="shared" si="12"/>
        <v>0</v>
      </c>
    </row>
    <row r="26" spans="1:38" s="64" customFormat="1" x14ac:dyDescent="0.25">
      <c r="A26" s="94" t="e">
        <f>IF(UC_DADOS!$B$2=0,"",UC_DADOS!$B$2)</f>
        <v>#N/A</v>
      </c>
      <c r="B26" s="283"/>
      <c r="C26" s="283"/>
      <c r="D26" s="283"/>
      <c r="E26" s="95"/>
      <c r="F26" s="95"/>
      <c r="G26" s="96"/>
      <c r="H26" s="283"/>
      <c r="I26" s="95"/>
      <c r="J26" s="145">
        <f t="shared" si="13"/>
        <v>0</v>
      </c>
      <c r="K26" s="97"/>
      <c r="L26" s="283"/>
      <c r="M26" s="299">
        <f t="shared" si="14"/>
        <v>0</v>
      </c>
      <c r="N26" s="97"/>
      <c r="O26" s="97"/>
      <c r="P26" s="95">
        <v>21.25</v>
      </c>
      <c r="Q26" s="95"/>
      <c r="R26" s="145">
        <f t="shared" si="0"/>
        <v>0</v>
      </c>
      <c r="S26" s="200">
        <f t="shared" si="1"/>
        <v>0</v>
      </c>
      <c r="T26" s="145">
        <f t="shared" si="2"/>
        <v>0</v>
      </c>
      <c r="U26" s="96">
        <f t="array" ref="U26">IF(F26="Ruim",IFERROR(INDEX('EQUIPAMENTOS_EFICIENTES (BDD)'!O:O,MATCH(1,('EQUIPAMENTOS_EFICIENTES (BDD)'!O:O=D26)*('EQUIPAMENTOS_EFICIENTES (BDD)'!T:T=E26),0)),""),D26)</f>
        <v>0</v>
      </c>
      <c r="V26" s="96">
        <f t="shared" si="3"/>
        <v>0</v>
      </c>
      <c r="W26" s="95">
        <f t="array" ref="W26">IF(F26="Ruim",IFERROR(INDEX('EQUIPAMENTOS_EFICIENTES (BDD)'!Q:Q,MATCH(1,('EQUIPAMENTOS_EFICIENTES (BDD)'!O:O=D26)*('EQUIPAMENTOS_EFICIENTES (BDD)'!T:T=E26),0)),H26),H26)</f>
        <v>0</v>
      </c>
      <c r="X26" s="95">
        <f t="array" ref="X26">IF(F26="Ruim",IFERROR(INDEX('EQUIPAMENTOS_EFICIENTES (BDD)'!S:S,MATCH(1,('EQUIPAMENTOS_EFICIENTES (BDD)'!O:O=D26)*('EQUIPAMENTOS_EFICIENTES (BDD)'!T:T=E26),0)),I26),I26)</f>
        <v>0</v>
      </c>
      <c r="Y26" s="201">
        <f t="shared" si="4"/>
        <v>0</v>
      </c>
      <c r="Z26" s="202">
        <f t="shared" si="5"/>
        <v>0</v>
      </c>
      <c r="AA26" s="203">
        <f t="array" ref="AA26">IF(F26="Ruim",IFERROR(INDEX('EQUIPAMENTOS_EFICIENTES (BDD)'!U:U,MATCH(1,('EQUIPAMENTOS_EFICIENTES (BDD)'!O:O=D26)*('EQUIPAMENTOS_EFICIENTES (BDD)'!T:T=E26),0)),0),0)</f>
        <v>0</v>
      </c>
      <c r="AB26" s="203">
        <f t="shared" si="15"/>
        <v>0</v>
      </c>
      <c r="AC26" s="203">
        <f t="shared" si="16"/>
        <v>0</v>
      </c>
      <c r="AD26" s="201">
        <f t="shared" si="17"/>
        <v>21.25</v>
      </c>
      <c r="AE26" s="203">
        <f t="shared" si="18"/>
        <v>0</v>
      </c>
      <c r="AF26" s="201">
        <f t="shared" si="19"/>
        <v>0</v>
      </c>
      <c r="AG26" s="201">
        <f t="shared" si="7"/>
        <v>0</v>
      </c>
      <c r="AH26" s="204">
        <f t="shared" si="8"/>
        <v>0</v>
      </c>
      <c r="AI26" s="205">
        <f t="shared" si="9"/>
        <v>0</v>
      </c>
      <c r="AJ26" s="205">
        <f t="shared" si="10"/>
        <v>0</v>
      </c>
      <c r="AK26" s="205">
        <f t="shared" si="11"/>
        <v>0</v>
      </c>
      <c r="AL26" s="205">
        <f t="shared" si="12"/>
        <v>0</v>
      </c>
    </row>
    <row r="27" spans="1:38" s="64" customFormat="1" x14ac:dyDescent="0.25">
      <c r="A27" s="94" t="e">
        <f>IF(UC_DADOS!$B$2=0,"",UC_DADOS!$B$2)</f>
        <v>#N/A</v>
      </c>
      <c r="B27" s="283"/>
      <c r="C27" s="283"/>
      <c r="D27" s="283"/>
      <c r="E27" s="95"/>
      <c r="F27" s="95"/>
      <c r="G27" s="96"/>
      <c r="H27" s="283"/>
      <c r="I27" s="95"/>
      <c r="J27" s="145">
        <f t="shared" si="13"/>
        <v>0</v>
      </c>
      <c r="K27" s="97"/>
      <c r="L27" s="283"/>
      <c r="M27" s="299">
        <f t="shared" si="14"/>
        <v>0</v>
      </c>
      <c r="N27" s="97"/>
      <c r="O27" s="97"/>
      <c r="P27" s="95">
        <v>21.25</v>
      </c>
      <c r="Q27" s="95"/>
      <c r="R27" s="145">
        <f t="shared" si="0"/>
        <v>0</v>
      </c>
      <c r="S27" s="200">
        <f t="shared" si="1"/>
        <v>0</v>
      </c>
      <c r="T27" s="145">
        <f t="shared" si="2"/>
        <v>0</v>
      </c>
      <c r="U27" s="96">
        <f t="array" ref="U27">IF(F27="Ruim",IFERROR(INDEX('EQUIPAMENTOS_EFICIENTES (BDD)'!O:O,MATCH(1,('EQUIPAMENTOS_EFICIENTES (BDD)'!O:O=D27)*('EQUIPAMENTOS_EFICIENTES (BDD)'!T:T=E27),0)),""),D27)</f>
        <v>0</v>
      </c>
      <c r="V27" s="96">
        <f t="shared" si="3"/>
        <v>0</v>
      </c>
      <c r="W27" s="95">
        <f t="array" ref="W27">IF(F27="Ruim",IFERROR(INDEX('EQUIPAMENTOS_EFICIENTES (BDD)'!Q:Q,MATCH(1,('EQUIPAMENTOS_EFICIENTES (BDD)'!O:O=D27)*('EQUIPAMENTOS_EFICIENTES (BDD)'!T:T=E27),0)),H27),H27)</f>
        <v>0</v>
      </c>
      <c r="X27" s="95">
        <f t="array" ref="X27">IF(F27="Ruim",IFERROR(INDEX('EQUIPAMENTOS_EFICIENTES (BDD)'!S:S,MATCH(1,('EQUIPAMENTOS_EFICIENTES (BDD)'!O:O=D27)*('EQUIPAMENTOS_EFICIENTES (BDD)'!T:T=E27),0)),I27),I27)</f>
        <v>0</v>
      </c>
      <c r="Y27" s="201">
        <f t="shared" si="4"/>
        <v>0</v>
      </c>
      <c r="Z27" s="202">
        <f t="shared" si="5"/>
        <v>0</v>
      </c>
      <c r="AA27" s="203">
        <f t="array" ref="AA27">IF(F27="Ruim",IFERROR(INDEX('EQUIPAMENTOS_EFICIENTES (BDD)'!U:U,MATCH(1,('EQUIPAMENTOS_EFICIENTES (BDD)'!O:O=D27)*('EQUIPAMENTOS_EFICIENTES (BDD)'!T:T=E27),0)),0),0)</f>
        <v>0</v>
      </c>
      <c r="AB27" s="203">
        <f t="shared" si="15"/>
        <v>0</v>
      </c>
      <c r="AC27" s="203">
        <f t="shared" si="16"/>
        <v>0</v>
      </c>
      <c r="AD27" s="201">
        <f t="shared" si="17"/>
        <v>21.25</v>
      </c>
      <c r="AE27" s="203">
        <f t="shared" si="18"/>
        <v>0</v>
      </c>
      <c r="AF27" s="201">
        <f t="shared" si="19"/>
        <v>0</v>
      </c>
      <c r="AG27" s="201">
        <f t="shared" si="7"/>
        <v>0</v>
      </c>
      <c r="AH27" s="204">
        <f t="shared" si="8"/>
        <v>0</v>
      </c>
      <c r="AI27" s="205">
        <f t="shared" si="9"/>
        <v>0</v>
      </c>
      <c r="AJ27" s="205">
        <f t="shared" si="10"/>
        <v>0</v>
      </c>
      <c r="AK27" s="205">
        <f t="shared" si="11"/>
        <v>0</v>
      </c>
      <c r="AL27" s="205">
        <f t="shared" si="12"/>
        <v>0</v>
      </c>
    </row>
    <row r="28" spans="1:38" s="64" customFormat="1" x14ac:dyDescent="0.25">
      <c r="A28" s="94" t="e">
        <f>IF(UC_DADOS!$B$2=0,"",UC_DADOS!$B$2)</f>
        <v>#N/A</v>
      </c>
      <c r="B28" s="283"/>
      <c r="C28" s="283"/>
      <c r="D28" s="283"/>
      <c r="E28" s="95"/>
      <c r="F28" s="95"/>
      <c r="G28" s="96"/>
      <c r="H28" s="283"/>
      <c r="I28" s="95"/>
      <c r="J28" s="145">
        <f t="shared" si="13"/>
        <v>0</v>
      </c>
      <c r="K28" s="97"/>
      <c r="L28" s="283"/>
      <c r="M28" s="299">
        <f t="shared" si="14"/>
        <v>0</v>
      </c>
      <c r="N28" s="97"/>
      <c r="O28" s="97"/>
      <c r="P28" s="95">
        <v>21.25</v>
      </c>
      <c r="Q28" s="95"/>
      <c r="R28" s="145">
        <f t="shared" si="0"/>
        <v>0</v>
      </c>
      <c r="S28" s="200">
        <f t="shared" si="1"/>
        <v>0</v>
      </c>
      <c r="T28" s="145">
        <f t="shared" si="2"/>
        <v>0</v>
      </c>
      <c r="U28" s="96">
        <f t="array" ref="U28">IF(F28="Ruim",IFERROR(INDEX('EQUIPAMENTOS_EFICIENTES (BDD)'!O:O,MATCH(1,('EQUIPAMENTOS_EFICIENTES (BDD)'!O:O=D28)*('EQUIPAMENTOS_EFICIENTES (BDD)'!T:T=E28),0)),""),D28)</f>
        <v>0</v>
      </c>
      <c r="V28" s="96">
        <f t="shared" si="3"/>
        <v>0</v>
      </c>
      <c r="W28" s="95">
        <f t="array" ref="W28">IF(F28="Ruim",IFERROR(INDEX('EQUIPAMENTOS_EFICIENTES (BDD)'!Q:Q,MATCH(1,('EQUIPAMENTOS_EFICIENTES (BDD)'!O:O=D28)*('EQUIPAMENTOS_EFICIENTES (BDD)'!T:T=E28),0)),H28),H28)</f>
        <v>0</v>
      </c>
      <c r="X28" s="95">
        <f t="array" ref="X28">IF(F28="Ruim",IFERROR(INDEX('EQUIPAMENTOS_EFICIENTES (BDD)'!S:S,MATCH(1,('EQUIPAMENTOS_EFICIENTES (BDD)'!O:O=D28)*('EQUIPAMENTOS_EFICIENTES (BDD)'!T:T=E28),0)),I28),I28)</f>
        <v>0</v>
      </c>
      <c r="Y28" s="201">
        <f t="shared" si="4"/>
        <v>0</v>
      </c>
      <c r="Z28" s="202">
        <f t="shared" si="5"/>
        <v>0</v>
      </c>
      <c r="AA28" s="203">
        <f t="array" ref="AA28">IF(F28="Ruim",IFERROR(INDEX('EQUIPAMENTOS_EFICIENTES (BDD)'!U:U,MATCH(1,('EQUIPAMENTOS_EFICIENTES (BDD)'!O:O=D28)*('EQUIPAMENTOS_EFICIENTES (BDD)'!T:T=E28),0)),0),0)</f>
        <v>0</v>
      </c>
      <c r="AB28" s="203">
        <f t="shared" si="15"/>
        <v>0</v>
      </c>
      <c r="AC28" s="203">
        <f t="shared" si="16"/>
        <v>0</v>
      </c>
      <c r="AD28" s="201">
        <f t="shared" si="17"/>
        <v>21.25</v>
      </c>
      <c r="AE28" s="203">
        <f t="shared" si="18"/>
        <v>0</v>
      </c>
      <c r="AF28" s="201">
        <f t="shared" si="19"/>
        <v>0</v>
      </c>
      <c r="AG28" s="201">
        <f t="shared" si="7"/>
        <v>0</v>
      </c>
      <c r="AH28" s="204">
        <f t="shared" si="8"/>
        <v>0</v>
      </c>
      <c r="AI28" s="205">
        <f t="shared" si="9"/>
        <v>0</v>
      </c>
      <c r="AJ28" s="205">
        <f t="shared" si="10"/>
        <v>0</v>
      </c>
      <c r="AK28" s="205">
        <f t="shared" si="11"/>
        <v>0</v>
      </c>
      <c r="AL28" s="205">
        <f t="shared" si="12"/>
        <v>0</v>
      </c>
    </row>
    <row r="29" spans="1:38" s="64" customFormat="1" x14ac:dyDescent="0.25">
      <c r="A29" s="94" t="e">
        <f>IF(UC_DADOS!$B$2=0,"",UC_DADOS!$B$2)</f>
        <v>#N/A</v>
      </c>
      <c r="B29" s="283"/>
      <c r="C29" s="283"/>
      <c r="D29" s="283"/>
      <c r="E29" s="95"/>
      <c r="F29" s="95"/>
      <c r="G29" s="96"/>
      <c r="H29" s="283"/>
      <c r="I29" s="95"/>
      <c r="J29" s="145">
        <f t="shared" si="13"/>
        <v>0</v>
      </c>
      <c r="K29" s="97"/>
      <c r="L29" s="283"/>
      <c r="M29" s="299">
        <f t="shared" si="14"/>
        <v>0</v>
      </c>
      <c r="N29" s="97"/>
      <c r="O29" s="97"/>
      <c r="P29" s="95">
        <v>21.25</v>
      </c>
      <c r="Q29" s="95"/>
      <c r="R29" s="145">
        <f t="shared" si="0"/>
        <v>0</v>
      </c>
      <c r="S29" s="200">
        <f t="shared" si="1"/>
        <v>0</v>
      </c>
      <c r="T29" s="145">
        <f t="shared" si="2"/>
        <v>0</v>
      </c>
      <c r="U29" s="96">
        <f t="array" ref="U29">IF(F29="Ruim",IFERROR(INDEX('EQUIPAMENTOS_EFICIENTES (BDD)'!O:O,MATCH(1,('EQUIPAMENTOS_EFICIENTES (BDD)'!O:O=D29)*('EQUIPAMENTOS_EFICIENTES (BDD)'!T:T=E29),0)),""),D29)</f>
        <v>0</v>
      </c>
      <c r="V29" s="96">
        <f t="shared" si="3"/>
        <v>0</v>
      </c>
      <c r="W29" s="95">
        <f t="array" ref="W29">IF(F29="Ruim",IFERROR(INDEX('EQUIPAMENTOS_EFICIENTES (BDD)'!Q:Q,MATCH(1,('EQUIPAMENTOS_EFICIENTES (BDD)'!O:O=D29)*('EQUIPAMENTOS_EFICIENTES (BDD)'!T:T=E29),0)),H29),H29)</f>
        <v>0</v>
      </c>
      <c r="X29" s="95">
        <f t="array" ref="X29">IF(F29="Ruim",IFERROR(INDEX('EQUIPAMENTOS_EFICIENTES (BDD)'!S:S,MATCH(1,('EQUIPAMENTOS_EFICIENTES (BDD)'!O:O=D29)*('EQUIPAMENTOS_EFICIENTES (BDD)'!T:T=E29),0)),I29),I29)</f>
        <v>0</v>
      </c>
      <c r="Y29" s="201">
        <f t="shared" si="4"/>
        <v>0</v>
      </c>
      <c r="Z29" s="202">
        <f t="shared" si="5"/>
        <v>0</v>
      </c>
      <c r="AA29" s="203">
        <f t="array" ref="AA29">IF(F29="Ruim",IFERROR(INDEX('EQUIPAMENTOS_EFICIENTES (BDD)'!U:U,MATCH(1,('EQUIPAMENTOS_EFICIENTES (BDD)'!O:O=D29)*('EQUIPAMENTOS_EFICIENTES (BDD)'!T:T=E29),0)),0),0)</f>
        <v>0</v>
      </c>
      <c r="AB29" s="203">
        <f t="shared" si="15"/>
        <v>0</v>
      </c>
      <c r="AC29" s="203">
        <f t="shared" si="16"/>
        <v>0</v>
      </c>
      <c r="AD29" s="201">
        <f t="shared" si="17"/>
        <v>21.25</v>
      </c>
      <c r="AE29" s="203">
        <f t="shared" si="18"/>
        <v>0</v>
      </c>
      <c r="AF29" s="201">
        <f t="shared" si="19"/>
        <v>0</v>
      </c>
      <c r="AG29" s="201">
        <f t="shared" si="7"/>
        <v>0</v>
      </c>
      <c r="AH29" s="204">
        <f t="shared" si="8"/>
        <v>0</v>
      </c>
      <c r="AI29" s="205">
        <f t="shared" si="9"/>
        <v>0</v>
      </c>
      <c r="AJ29" s="205">
        <f t="shared" si="10"/>
        <v>0</v>
      </c>
      <c r="AK29" s="205">
        <f t="shared" si="11"/>
        <v>0</v>
      </c>
      <c r="AL29" s="205">
        <f t="shared" si="12"/>
        <v>0</v>
      </c>
    </row>
    <row r="30" spans="1:38" s="64" customFormat="1" x14ac:dyDescent="0.25">
      <c r="A30" s="94" t="e">
        <f>IF(UC_DADOS!$B$2=0,"",UC_DADOS!$B$2)</f>
        <v>#N/A</v>
      </c>
      <c r="B30" s="283"/>
      <c r="C30" s="283"/>
      <c r="D30" s="283"/>
      <c r="E30" s="95"/>
      <c r="F30" s="95"/>
      <c r="G30" s="96"/>
      <c r="H30" s="283"/>
      <c r="I30" s="95"/>
      <c r="J30" s="145">
        <f t="shared" si="13"/>
        <v>0</v>
      </c>
      <c r="K30" s="97"/>
      <c r="L30" s="283"/>
      <c r="M30" s="299">
        <f t="shared" si="14"/>
        <v>0</v>
      </c>
      <c r="N30" s="97"/>
      <c r="O30" s="97"/>
      <c r="P30" s="95">
        <v>21.25</v>
      </c>
      <c r="Q30" s="95"/>
      <c r="R30" s="145">
        <f t="shared" si="0"/>
        <v>0</v>
      </c>
      <c r="S30" s="200">
        <f t="shared" si="1"/>
        <v>0</v>
      </c>
      <c r="T30" s="145">
        <f t="shared" si="2"/>
        <v>0</v>
      </c>
      <c r="U30" s="96">
        <f t="array" ref="U30">IF(F30="Ruim",IFERROR(INDEX('EQUIPAMENTOS_EFICIENTES (BDD)'!O:O,MATCH(1,('EQUIPAMENTOS_EFICIENTES (BDD)'!O:O=D30)*('EQUIPAMENTOS_EFICIENTES (BDD)'!T:T=E30),0)),""),D30)</f>
        <v>0</v>
      </c>
      <c r="V30" s="96">
        <f t="shared" si="3"/>
        <v>0</v>
      </c>
      <c r="W30" s="95">
        <f t="array" ref="W30">IF(F30="Ruim",IFERROR(INDEX('EQUIPAMENTOS_EFICIENTES (BDD)'!Q:Q,MATCH(1,('EQUIPAMENTOS_EFICIENTES (BDD)'!O:O=D30)*('EQUIPAMENTOS_EFICIENTES (BDD)'!T:T=E30),0)),H30),H30)</f>
        <v>0</v>
      </c>
      <c r="X30" s="95">
        <f t="array" ref="X30">IF(F30="Ruim",IFERROR(INDEX('EQUIPAMENTOS_EFICIENTES (BDD)'!S:S,MATCH(1,('EQUIPAMENTOS_EFICIENTES (BDD)'!O:O=D30)*('EQUIPAMENTOS_EFICIENTES (BDD)'!T:T=E30),0)),I30),I30)</f>
        <v>0</v>
      </c>
      <c r="Y30" s="201">
        <f t="shared" si="4"/>
        <v>0</v>
      </c>
      <c r="Z30" s="202">
        <f t="shared" si="5"/>
        <v>0</v>
      </c>
      <c r="AA30" s="203">
        <f t="array" ref="AA30">IF(F30="Ruim",IFERROR(INDEX('EQUIPAMENTOS_EFICIENTES (BDD)'!U:U,MATCH(1,('EQUIPAMENTOS_EFICIENTES (BDD)'!O:O=D30)*('EQUIPAMENTOS_EFICIENTES (BDD)'!T:T=E30),0)),0),0)</f>
        <v>0</v>
      </c>
      <c r="AB30" s="203">
        <f t="shared" si="15"/>
        <v>0</v>
      </c>
      <c r="AC30" s="203">
        <f t="shared" si="16"/>
        <v>0</v>
      </c>
      <c r="AD30" s="201">
        <f t="shared" si="17"/>
        <v>21.25</v>
      </c>
      <c r="AE30" s="203">
        <f t="shared" si="18"/>
        <v>0</v>
      </c>
      <c r="AF30" s="201">
        <f t="shared" si="19"/>
        <v>0</v>
      </c>
      <c r="AG30" s="201">
        <f t="shared" si="7"/>
        <v>0</v>
      </c>
      <c r="AH30" s="204">
        <f t="shared" si="8"/>
        <v>0</v>
      </c>
      <c r="AI30" s="205">
        <f t="shared" si="9"/>
        <v>0</v>
      </c>
      <c r="AJ30" s="205">
        <f t="shared" si="10"/>
        <v>0</v>
      </c>
      <c r="AK30" s="205">
        <f t="shared" si="11"/>
        <v>0</v>
      </c>
      <c r="AL30" s="205">
        <f t="shared" si="12"/>
        <v>0</v>
      </c>
    </row>
    <row r="31" spans="1:38" s="64" customFormat="1" x14ac:dyDescent="0.25">
      <c r="A31" s="94" t="e">
        <f>IF(UC_DADOS!$B$2=0,"",UC_DADOS!$B$2)</f>
        <v>#N/A</v>
      </c>
      <c r="B31" s="283"/>
      <c r="C31" s="283"/>
      <c r="D31" s="283"/>
      <c r="E31" s="95"/>
      <c r="F31" s="95"/>
      <c r="G31" s="96"/>
      <c r="H31" s="283"/>
      <c r="I31" s="95"/>
      <c r="J31" s="145">
        <f t="shared" si="13"/>
        <v>0</v>
      </c>
      <c r="K31" s="97"/>
      <c r="L31" s="283"/>
      <c r="M31" s="299">
        <f t="shared" si="14"/>
        <v>0</v>
      </c>
      <c r="N31" s="97"/>
      <c r="O31" s="97"/>
      <c r="P31" s="95">
        <v>21.25</v>
      </c>
      <c r="Q31" s="95"/>
      <c r="R31" s="145">
        <f t="shared" si="0"/>
        <v>0</v>
      </c>
      <c r="S31" s="200">
        <f t="shared" si="1"/>
        <v>0</v>
      </c>
      <c r="T31" s="145">
        <f t="shared" si="2"/>
        <v>0</v>
      </c>
      <c r="U31" s="96">
        <f t="array" ref="U31">IF(F31="Ruim",IFERROR(INDEX('EQUIPAMENTOS_EFICIENTES (BDD)'!O:O,MATCH(1,('EQUIPAMENTOS_EFICIENTES (BDD)'!O:O=D31)*('EQUIPAMENTOS_EFICIENTES (BDD)'!T:T=E31),0)),""),D31)</f>
        <v>0</v>
      </c>
      <c r="V31" s="96">
        <f t="shared" si="3"/>
        <v>0</v>
      </c>
      <c r="W31" s="95">
        <f t="array" ref="W31">IF(F31="Ruim",IFERROR(INDEX('EQUIPAMENTOS_EFICIENTES (BDD)'!Q:Q,MATCH(1,('EQUIPAMENTOS_EFICIENTES (BDD)'!O:O=D31)*('EQUIPAMENTOS_EFICIENTES (BDD)'!T:T=E31),0)),H31),H31)</f>
        <v>0</v>
      </c>
      <c r="X31" s="95">
        <f t="array" ref="X31">IF(F31="Ruim",IFERROR(INDEX('EQUIPAMENTOS_EFICIENTES (BDD)'!S:S,MATCH(1,('EQUIPAMENTOS_EFICIENTES (BDD)'!O:O=D31)*('EQUIPAMENTOS_EFICIENTES (BDD)'!T:T=E31),0)),I31),I31)</f>
        <v>0</v>
      </c>
      <c r="Y31" s="201">
        <f t="shared" si="4"/>
        <v>0</v>
      </c>
      <c r="Z31" s="202">
        <f t="shared" si="5"/>
        <v>0</v>
      </c>
      <c r="AA31" s="203">
        <f t="array" ref="AA31">IF(F31="Ruim",IFERROR(INDEX('EQUIPAMENTOS_EFICIENTES (BDD)'!U:U,MATCH(1,('EQUIPAMENTOS_EFICIENTES (BDD)'!O:O=D31)*('EQUIPAMENTOS_EFICIENTES (BDD)'!T:T=E31),0)),0),0)</f>
        <v>0</v>
      </c>
      <c r="AB31" s="203">
        <f t="shared" si="15"/>
        <v>0</v>
      </c>
      <c r="AC31" s="203">
        <f t="shared" si="16"/>
        <v>0</v>
      </c>
      <c r="AD31" s="201">
        <f t="shared" si="17"/>
        <v>21.25</v>
      </c>
      <c r="AE31" s="203">
        <f t="shared" si="18"/>
        <v>0</v>
      </c>
      <c r="AF31" s="201">
        <f t="shared" si="19"/>
        <v>0</v>
      </c>
      <c r="AG31" s="201">
        <f t="shared" si="7"/>
        <v>0</v>
      </c>
      <c r="AH31" s="204">
        <f t="shared" si="8"/>
        <v>0</v>
      </c>
      <c r="AI31" s="205">
        <f t="shared" si="9"/>
        <v>0</v>
      </c>
      <c r="AJ31" s="205">
        <f t="shared" si="10"/>
        <v>0</v>
      </c>
      <c r="AK31" s="205">
        <f t="shared" si="11"/>
        <v>0</v>
      </c>
      <c r="AL31" s="205">
        <f t="shared" si="12"/>
        <v>0</v>
      </c>
    </row>
    <row r="32" spans="1:38" s="64" customFormat="1" x14ac:dyDescent="0.25">
      <c r="A32" s="94" t="e">
        <f>IF(UC_DADOS!$B$2=0,"",UC_DADOS!$B$2)</f>
        <v>#N/A</v>
      </c>
      <c r="B32" s="283"/>
      <c r="C32" s="283"/>
      <c r="D32" s="283"/>
      <c r="E32" s="95"/>
      <c r="F32" s="95"/>
      <c r="G32" s="96"/>
      <c r="H32" s="283"/>
      <c r="I32" s="95"/>
      <c r="J32" s="145">
        <f t="shared" si="13"/>
        <v>0</v>
      </c>
      <c r="K32" s="97"/>
      <c r="L32" s="283"/>
      <c r="M32" s="299">
        <f t="shared" si="14"/>
        <v>0</v>
      </c>
      <c r="N32" s="97"/>
      <c r="O32" s="97"/>
      <c r="P32" s="95">
        <v>21.25</v>
      </c>
      <c r="Q32" s="95"/>
      <c r="R32" s="145">
        <f t="shared" si="0"/>
        <v>0</v>
      </c>
      <c r="S32" s="200">
        <f t="shared" si="1"/>
        <v>0</v>
      </c>
      <c r="T32" s="145">
        <f t="shared" si="2"/>
        <v>0</v>
      </c>
      <c r="U32" s="96">
        <f t="array" ref="U32">IF(F32="Ruim",IFERROR(INDEX('EQUIPAMENTOS_EFICIENTES (BDD)'!O:O,MATCH(1,('EQUIPAMENTOS_EFICIENTES (BDD)'!O:O=D32)*('EQUIPAMENTOS_EFICIENTES (BDD)'!T:T=E32),0)),""),D32)</f>
        <v>0</v>
      </c>
      <c r="V32" s="96">
        <f t="shared" si="3"/>
        <v>0</v>
      </c>
      <c r="W32" s="95">
        <f t="array" ref="W32">IF(F32="Ruim",IFERROR(INDEX('EQUIPAMENTOS_EFICIENTES (BDD)'!Q:Q,MATCH(1,('EQUIPAMENTOS_EFICIENTES (BDD)'!O:O=D32)*('EQUIPAMENTOS_EFICIENTES (BDD)'!T:T=E32),0)),H32),H32)</f>
        <v>0</v>
      </c>
      <c r="X32" s="95">
        <f t="array" ref="X32">IF(F32="Ruim",IFERROR(INDEX('EQUIPAMENTOS_EFICIENTES (BDD)'!S:S,MATCH(1,('EQUIPAMENTOS_EFICIENTES (BDD)'!O:O=D32)*('EQUIPAMENTOS_EFICIENTES (BDD)'!T:T=E32),0)),I32),I32)</f>
        <v>0</v>
      </c>
      <c r="Y32" s="201">
        <f t="shared" si="4"/>
        <v>0</v>
      </c>
      <c r="Z32" s="202">
        <f t="shared" si="5"/>
        <v>0</v>
      </c>
      <c r="AA32" s="203">
        <f t="array" ref="AA32">IF(F32="Ruim",IFERROR(INDEX('EQUIPAMENTOS_EFICIENTES (BDD)'!U:U,MATCH(1,('EQUIPAMENTOS_EFICIENTES (BDD)'!O:O=D32)*('EQUIPAMENTOS_EFICIENTES (BDD)'!T:T=E32),0)),0),0)</f>
        <v>0</v>
      </c>
      <c r="AB32" s="203">
        <f t="shared" si="15"/>
        <v>0</v>
      </c>
      <c r="AC32" s="203">
        <f t="shared" si="16"/>
        <v>0</v>
      </c>
      <c r="AD32" s="201">
        <f t="shared" si="17"/>
        <v>21.25</v>
      </c>
      <c r="AE32" s="203">
        <f t="shared" si="18"/>
        <v>0</v>
      </c>
      <c r="AF32" s="201">
        <f t="shared" si="19"/>
        <v>0</v>
      </c>
      <c r="AG32" s="201">
        <f t="shared" si="7"/>
        <v>0</v>
      </c>
      <c r="AH32" s="204">
        <f t="shared" si="8"/>
        <v>0</v>
      </c>
      <c r="AI32" s="205">
        <f t="shared" si="9"/>
        <v>0</v>
      </c>
      <c r="AJ32" s="205">
        <f t="shared" si="10"/>
        <v>0</v>
      </c>
      <c r="AK32" s="205">
        <f t="shared" si="11"/>
        <v>0</v>
      </c>
      <c r="AL32" s="205">
        <f t="shared" si="12"/>
        <v>0</v>
      </c>
    </row>
    <row r="33" spans="1:38" s="64" customFormat="1" x14ac:dyDescent="0.25">
      <c r="A33" s="94" t="e">
        <f>IF(UC_DADOS!$B$2=0,"",UC_DADOS!$B$2)</f>
        <v>#N/A</v>
      </c>
      <c r="B33" s="283"/>
      <c r="C33" s="283"/>
      <c r="D33" s="283"/>
      <c r="E33" s="95"/>
      <c r="F33" s="95"/>
      <c r="G33" s="96"/>
      <c r="H33" s="283"/>
      <c r="I33" s="95"/>
      <c r="J33" s="145">
        <f t="shared" si="13"/>
        <v>0</v>
      </c>
      <c r="K33" s="97"/>
      <c r="L33" s="283"/>
      <c r="M33" s="299">
        <f t="shared" si="14"/>
        <v>0</v>
      </c>
      <c r="N33" s="97"/>
      <c r="O33" s="97"/>
      <c r="P33" s="95">
        <v>21.25</v>
      </c>
      <c r="Q33" s="95"/>
      <c r="R33" s="145">
        <f t="shared" si="0"/>
        <v>0</v>
      </c>
      <c r="S33" s="200">
        <f t="shared" si="1"/>
        <v>0</v>
      </c>
      <c r="T33" s="145">
        <f t="shared" si="2"/>
        <v>0</v>
      </c>
      <c r="U33" s="96">
        <f t="array" ref="U33">IF(F33="Ruim",IFERROR(INDEX('EQUIPAMENTOS_EFICIENTES (BDD)'!O:O,MATCH(1,('EQUIPAMENTOS_EFICIENTES (BDD)'!O:O=D33)*('EQUIPAMENTOS_EFICIENTES (BDD)'!T:T=E33),0)),""),D33)</f>
        <v>0</v>
      </c>
      <c r="V33" s="96">
        <f t="shared" si="3"/>
        <v>0</v>
      </c>
      <c r="W33" s="95">
        <f t="array" ref="W33">IF(F33="Ruim",IFERROR(INDEX('EQUIPAMENTOS_EFICIENTES (BDD)'!Q:Q,MATCH(1,('EQUIPAMENTOS_EFICIENTES (BDD)'!O:O=D33)*('EQUIPAMENTOS_EFICIENTES (BDD)'!T:T=E33),0)),H33),H33)</f>
        <v>0</v>
      </c>
      <c r="X33" s="95">
        <f t="array" ref="X33">IF(F33="Ruim",IFERROR(INDEX('EQUIPAMENTOS_EFICIENTES (BDD)'!S:S,MATCH(1,('EQUIPAMENTOS_EFICIENTES (BDD)'!O:O=D33)*('EQUIPAMENTOS_EFICIENTES (BDD)'!T:T=E33),0)),I33),I33)</f>
        <v>0</v>
      </c>
      <c r="Y33" s="201">
        <f t="shared" si="4"/>
        <v>0</v>
      </c>
      <c r="Z33" s="202">
        <f t="shared" si="5"/>
        <v>0</v>
      </c>
      <c r="AA33" s="203">
        <f t="array" ref="AA33">IF(F33="Ruim",IFERROR(INDEX('EQUIPAMENTOS_EFICIENTES (BDD)'!U:U,MATCH(1,('EQUIPAMENTOS_EFICIENTES (BDD)'!O:O=D33)*('EQUIPAMENTOS_EFICIENTES (BDD)'!T:T=E33),0)),0),0)</f>
        <v>0</v>
      </c>
      <c r="AB33" s="203">
        <f t="shared" si="15"/>
        <v>0</v>
      </c>
      <c r="AC33" s="203">
        <f t="shared" si="16"/>
        <v>0</v>
      </c>
      <c r="AD33" s="201">
        <f t="shared" si="17"/>
        <v>21.25</v>
      </c>
      <c r="AE33" s="203">
        <f t="shared" si="18"/>
        <v>0</v>
      </c>
      <c r="AF33" s="201">
        <f t="shared" si="19"/>
        <v>0</v>
      </c>
      <c r="AG33" s="201">
        <f t="shared" si="7"/>
        <v>0</v>
      </c>
      <c r="AH33" s="204">
        <f t="shared" si="8"/>
        <v>0</v>
      </c>
      <c r="AI33" s="205">
        <f t="shared" si="9"/>
        <v>0</v>
      </c>
      <c r="AJ33" s="205">
        <f t="shared" si="10"/>
        <v>0</v>
      </c>
      <c r="AK33" s="205">
        <f t="shared" si="11"/>
        <v>0</v>
      </c>
      <c r="AL33" s="205">
        <f t="shared" si="12"/>
        <v>0</v>
      </c>
    </row>
    <row r="34" spans="1:38" s="64" customFormat="1" x14ac:dyDescent="0.25">
      <c r="A34" s="94" t="e">
        <f>IF(UC_DADOS!$B$2=0,"",UC_DADOS!$B$2)</f>
        <v>#N/A</v>
      </c>
      <c r="B34" s="283"/>
      <c r="C34" s="283"/>
      <c r="D34" s="283"/>
      <c r="E34" s="95"/>
      <c r="F34" s="95"/>
      <c r="G34" s="96"/>
      <c r="H34" s="283"/>
      <c r="I34" s="95"/>
      <c r="J34" s="145">
        <f t="shared" si="13"/>
        <v>0</v>
      </c>
      <c r="K34" s="97"/>
      <c r="L34" s="283"/>
      <c r="M34" s="299">
        <f t="shared" si="14"/>
        <v>0</v>
      </c>
      <c r="N34" s="97"/>
      <c r="O34" s="97"/>
      <c r="P34" s="95">
        <v>21.25</v>
      </c>
      <c r="Q34" s="95"/>
      <c r="R34" s="145">
        <f t="shared" si="0"/>
        <v>0</v>
      </c>
      <c r="S34" s="200">
        <f t="shared" si="1"/>
        <v>0</v>
      </c>
      <c r="T34" s="145">
        <f t="shared" si="2"/>
        <v>0</v>
      </c>
      <c r="U34" s="96">
        <f t="array" ref="U34">IF(F34="Ruim",IFERROR(INDEX('EQUIPAMENTOS_EFICIENTES (BDD)'!O:O,MATCH(1,('EQUIPAMENTOS_EFICIENTES (BDD)'!O:O=D34)*('EQUIPAMENTOS_EFICIENTES (BDD)'!T:T=E34),0)),""),D34)</f>
        <v>0</v>
      </c>
      <c r="V34" s="96">
        <f t="shared" si="3"/>
        <v>0</v>
      </c>
      <c r="W34" s="95">
        <f t="array" ref="W34">IF(F34="Ruim",IFERROR(INDEX('EQUIPAMENTOS_EFICIENTES (BDD)'!Q:Q,MATCH(1,('EQUIPAMENTOS_EFICIENTES (BDD)'!O:O=D34)*('EQUIPAMENTOS_EFICIENTES (BDD)'!T:T=E34),0)),H34),H34)</f>
        <v>0</v>
      </c>
      <c r="X34" s="95">
        <f t="array" ref="X34">IF(F34="Ruim",IFERROR(INDEX('EQUIPAMENTOS_EFICIENTES (BDD)'!S:S,MATCH(1,('EQUIPAMENTOS_EFICIENTES (BDD)'!O:O=D34)*('EQUIPAMENTOS_EFICIENTES (BDD)'!T:T=E34),0)),I34),I34)</f>
        <v>0</v>
      </c>
      <c r="Y34" s="201">
        <f t="shared" si="4"/>
        <v>0</v>
      </c>
      <c r="Z34" s="202">
        <f t="shared" si="5"/>
        <v>0</v>
      </c>
      <c r="AA34" s="203">
        <f t="array" ref="AA34">IF(F34="Ruim",IFERROR(INDEX('EQUIPAMENTOS_EFICIENTES (BDD)'!U:U,MATCH(1,('EQUIPAMENTOS_EFICIENTES (BDD)'!O:O=D34)*('EQUIPAMENTOS_EFICIENTES (BDD)'!T:T=E34),0)),0),0)</f>
        <v>0</v>
      </c>
      <c r="AB34" s="203">
        <f t="shared" si="15"/>
        <v>0</v>
      </c>
      <c r="AC34" s="203">
        <f t="shared" si="16"/>
        <v>0</v>
      </c>
      <c r="AD34" s="201">
        <f t="shared" si="17"/>
        <v>21.25</v>
      </c>
      <c r="AE34" s="203">
        <f t="shared" si="18"/>
        <v>0</v>
      </c>
      <c r="AF34" s="201">
        <f t="shared" si="19"/>
        <v>0</v>
      </c>
      <c r="AG34" s="201">
        <f t="shared" si="7"/>
        <v>0</v>
      </c>
      <c r="AH34" s="204">
        <f t="shared" si="8"/>
        <v>0</v>
      </c>
      <c r="AI34" s="205">
        <f t="shared" si="9"/>
        <v>0</v>
      </c>
      <c r="AJ34" s="205">
        <f t="shared" si="10"/>
        <v>0</v>
      </c>
      <c r="AK34" s="205">
        <f t="shared" si="11"/>
        <v>0</v>
      </c>
      <c r="AL34" s="205">
        <f t="shared" si="12"/>
        <v>0</v>
      </c>
    </row>
    <row r="35" spans="1:38" s="64" customFormat="1" x14ac:dyDescent="0.25">
      <c r="A35" s="94" t="e">
        <f>IF(UC_DADOS!$B$2=0,"",UC_DADOS!$B$2)</f>
        <v>#N/A</v>
      </c>
      <c r="B35" s="283"/>
      <c r="C35" s="283"/>
      <c r="D35" s="283"/>
      <c r="E35" s="95"/>
      <c r="F35" s="95"/>
      <c r="G35" s="96"/>
      <c r="H35" s="283"/>
      <c r="I35" s="95"/>
      <c r="J35" s="145">
        <f t="shared" si="13"/>
        <v>0</v>
      </c>
      <c r="K35" s="97"/>
      <c r="L35" s="283"/>
      <c r="M35" s="299">
        <f t="shared" si="14"/>
        <v>0</v>
      </c>
      <c r="N35" s="97"/>
      <c r="O35" s="97"/>
      <c r="P35" s="95">
        <v>21.25</v>
      </c>
      <c r="Q35" s="95"/>
      <c r="R35" s="145">
        <f t="shared" si="0"/>
        <v>0</v>
      </c>
      <c r="S35" s="200">
        <f t="shared" si="1"/>
        <v>0</v>
      </c>
      <c r="T35" s="145">
        <f t="shared" si="2"/>
        <v>0</v>
      </c>
      <c r="U35" s="96">
        <f t="array" ref="U35">IF(F35="Ruim",IFERROR(INDEX('EQUIPAMENTOS_EFICIENTES (BDD)'!O:O,MATCH(1,('EQUIPAMENTOS_EFICIENTES (BDD)'!O:O=D35)*('EQUIPAMENTOS_EFICIENTES (BDD)'!T:T=E35),0)),""),D35)</f>
        <v>0</v>
      </c>
      <c r="V35" s="96">
        <f t="shared" si="3"/>
        <v>0</v>
      </c>
      <c r="W35" s="95">
        <f t="array" ref="W35">IF(F35="Ruim",IFERROR(INDEX('EQUIPAMENTOS_EFICIENTES (BDD)'!Q:Q,MATCH(1,('EQUIPAMENTOS_EFICIENTES (BDD)'!O:O=D35)*('EQUIPAMENTOS_EFICIENTES (BDD)'!T:T=E35),0)),H35),H35)</f>
        <v>0</v>
      </c>
      <c r="X35" s="95">
        <f t="array" ref="X35">IF(F35="Ruim",IFERROR(INDEX('EQUIPAMENTOS_EFICIENTES (BDD)'!S:S,MATCH(1,('EQUIPAMENTOS_EFICIENTES (BDD)'!O:O=D35)*('EQUIPAMENTOS_EFICIENTES (BDD)'!T:T=E35),0)),I35),I35)</f>
        <v>0</v>
      </c>
      <c r="Y35" s="201">
        <f t="shared" si="4"/>
        <v>0</v>
      </c>
      <c r="Z35" s="202">
        <f t="shared" si="5"/>
        <v>0</v>
      </c>
      <c r="AA35" s="203">
        <f t="array" ref="AA35">IF(F35="Ruim",IFERROR(INDEX('EQUIPAMENTOS_EFICIENTES (BDD)'!U:U,MATCH(1,('EQUIPAMENTOS_EFICIENTES (BDD)'!O:O=D35)*('EQUIPAMENTOS_EFICIENTES (BDD)'!T:T=E35),0)),0),0)</f>
        <v>0</v>
      </c>
      <c r="AB35" s="203">
        <f t="shared" si="15"/>
        <v>0</v>
      </c>
      <c r="AC35" s="203">
        <f t="shared" si="16"/>
        <v>0</v>
      </c>
      <c r="AD35" s="201">
        <f t="shared" si="17"/>
        <v>21.25</v>
      </c>
      <c r="AE35" s="203">
        <f t="shared" si="18"/>
        <v>0</v>
      </c>
      <c r="AF35" s="201">
        <f t="shared" si="19"/>
        <v>0</v>
      </c>
      <c r="AG35" s="201">
        <f t="shared" si="7"/>
        <v>0</v>
      </c>
      <c r="AH35" s="204">
        <f t="shared" si="8"/>
        <v>0</v>
      </c>
      <c r="AI35" s="205">
        <f t="shared" si="9"/>
        <v>0</v>
      </c>
      <c r="AJ35" s="205">
        <f t="shared" si="10"/>
        <v>0</v>
      </c>
      <c r="AK35" s="205">
        <f t="shared" si="11"/>
        <v>0</v>
      </c>
      <c r="AL35" s="205">
        <f t="shared" si="12"/>
        <v>0</v>
      </c>
    </row>
    <row r="36" spans="1:38" s="64" customFormat="1" x14ac:dyDescent="0.25">
      <c r="A36" s="94" t="e">
        <f>IF(UC_DADOS!$B$2=0,"",UC_DADOS!$B$2)</f>
        <v>#N/A</v>
      </c>
      <c r="B36" s="283"/>
      <c r="C36" s="283"/>
      <c r="D36" s="283"/>
      <c r="E36" s="95"/>
      <c r="F36" s="95"/>
      <c r="G36" s="96"/>
      <c r="H36" s="283"/>
      <c r="I36" s="95"/>
      <c r="J36" s="145">
        <f t="shared" si="13"/>
        <v>0</v>
      </c>
      <c r="K36" s="97"/>
      <c r="L36" s="283"/>
      <c r="M36" s="299">
        <f t="shared" si="14"/>
        <v>0</v>
      </c>
      <c r="N36" s="97"/>
      <c r="O36" s="97"/>
      <c r="P36" s="95">
        <v>21.25</v>
      </c>
      <c r="Q36" s="95"/>
      <c r="R36" s="145">
        <f t="shared" si="0"/>
        <v>0</v>
      </c>
      <c r="S36" s="200">
        <f t="shared" si="1"/>
        <v>0</v>
      </c>
      <c r="T36" s="145">
        <f t="shared" si="2"/>
        <v>0</v>
      </c>
      <c r="U36" s="96">
        <f t="array" ref="U36">IF(F36="Ruim",IFERROR(INDEX('EQUIPAMENTOS_EFICIENTES (BDD)'!O:O,MATCH(1,('EQUIPAMENTOS_EFICIENTES (BDD)'!O:O=D36)*('EQUIPAMENTOS_EFICIENTES (BDD)'!T:T=E36),0)),""),D36)</f>
        <v>0</v>
      </c>
      <c r="V36" s="96">
        <f t="shared" si="3"/>
        <v>0</v>
      </c>
      <c r="W36" s="95">
        <f t="array" ref="W36">IF(F36="Ruim",IFERROR(INDEX('EQUIPAMENTOS_EFICIENTES (BDD)'!Q:Q,MATCH(1,('EQUIPAMENTOS_EFICIENTES (BDD)'!O:O=D36)*('EQUIPAMENTOS_EFICIENTES (BDD)'!T:T=E36),0)),H36),H36)</f>
        <v>0</v>
      </c>
      <c r="X36" s="95">
        <f t="array" ref="X36">IF(F36="Ruim",IFERROR(INDEX('EQUIPAMENTOS_EFICIENTES (BDD)'!S:S,MATCH(1,('EQUIPAMENTOS_EFICIENTES (BDD)'!O:O=D36)*('EQUIPAMENTOS_EFICIENTES (BDD)'!T:T=E36),0)),I36),I36)</f>
        <v>0</v>
      </c>
      <c r="Y36" s="201">
        <f t="shared" si="4"/>
        <v>0</v>
      </c>
      <c r="Z36" s="202">
        <f t="shared" si="5"/>
        <v>0</v>
      </c>
      <c r="AA36" s="203">
        <f t="array" ref="AA36">IF(F36="Ruim",IFERROR(INDEX('EQUIPAMENTOS_EFICIENTES (BDD)'!U:U,MATCH(1,('EQUIPAMENTOS_EFICIENTES (BDD)'!O:O=D36)*('EQUIPAMENTOS_EFICIENTES (BDD)'!T:T=E36),0)),0),0)</f>
        <v>0</v>
      </c>
      <c r="AB36" s="203">
        <f t="shared" si="15"/>
        <v>0</v>
      </c>
      <c r="AC36" s="203">
        <f t="shared" si="16"/>
        <v>0</v>
      </c>
      <c r="AD36" s="201">
        <f t="shared" si="17"/>
        <v>21.25</v>
      </c>
      <c r="AE36" s="203">
        <f t="shared" si="18"/>
        <v>0</v>
      </c>
      <c r="AF36" s="201">
        <f t="shared" si="19"/>
        <v>0</v>
      </c>
      <c r="AG36" s="201">
        <f t="shared" si="7"/>
        <v>0</v>
      </c>
      <c r="AH36" s="204">
        <f t="shared" si="8"/>
        <v>0</v>
      </c>
      <c r="AI36" s="205">
        <f t="shared" si="9"/>
        <v>0</v>
      </c>
      <c r="AJ36" s="205">
        <f t="shared" si="10"/>
        <v>0</v>
      </c>
      <c r="AK36" s="205">
        <f t="shared" si="11"/>
        <v>0</v>
      </c>
      <c r="AL36" s="205">
        <f t="shared" si="12"/>
        <v>0</v>
      </c>
    </row>
    <row r="37" spans="1:38" s="64" customFormat="1" x14ac:dyDescent="0.25">
      <c r="A37" s="94" t="e">
        <f>IF(UC_DADOS!$B$2=0,"",UC_DADOS!$B$2)</f>
        <v>#N/A</v>
      </c>
      <c r="B37" s="283"/>
      <c r="C37" s="283"/>
      <c r="D37" s="283"/>
      <c r="E37" s="95"/>
      <c r="F37" s="95"/>
      <c r="G37" s="96"/>
      <c r="H37" s="283"/>
      <c r="I37" s="95"/>
      <c r="J37" s="145">
        <f t="shared" si="13"/>
        <v>0</v>
      </c>
      <c r="K37" s="97"/>
      <c r="L37" s="283"/>
      <c r="M37" s="299">
        <f t="shared" si="14"/>
        <v>0</v>
      </c>
      <c r="N37" s="97"/>
      <c r="O37" s="97"/>
      <c r="P37" s="95">
        <v>21.25</v>
      </c>
      <c r="Q37" s="95"/>
      <c r="R37" s="145">
        <f t="shared" si="0"/>
        <v>0</v>
      </c>
      <c r="S37" s="200">
        <f t="shared" si="1"/>
        <v>0</v>
      </c>
      <c r="T37" s="145">
        <f t="shared" si="2"/>
        <v>0</v>
      </c>
      <c r="U37" s="96">
        <f t="array" ref="U37">IF(F37="Ruim",IFERROR(INDEX('EQUIPAMENTOS_EFICIENTES (BDD)'!O:O,MATCH(1,('EQUIPAMENTOS_EFICIENTES (BDD)'!O:O=D37)*('EQUIPAMENTOS_EFICIENTES (BDD)'!T:T=E37),0)),""),D37)</f>
        <v>0</v>
      </c>
      <c r="V37" s="96">
        <f t="shared" si="3"/>
        <v>0</v>
      </c>
      <c r="W37" s="95">
        <f t="array" ref="W37">IF(F37="Ruim",IFERROR(INDEX('EQUIPAMENTOS_EFICIENTES (BDD)'!Q:Q,MATCH(1,('EQUIPAMENTOS_EFICIENTES (BDD)'!O:O=D37)*('EQUIPAMENTOS_EFICIENTES (BDD)'!T:T=E37),0)),H37),H37)</f>
        <v>0</v>
      </c>
      <c r="X37" s="95">
        <f t="array" ref="X37">IF(F37="Ruim",IFERROR(INDEX('EQUIPAMENTOS_EFICIENTES (BDD)'!S:S,MATCH(1,('EQUIPAMENTOS_EFICIENTES (BDD)'!O:O=D37)*('EQUIPAMENTOS_EFICIENTES (BDD)'!T:T=E37),0)),I37),I37)</f>
        <v>0</v>
      </c>
      <c r="Y37" s="201">
        <f t="shared" si="4"/>
        <v>0</v>
      </c>
      <c r="Z37" s="202">
        <f t="shared" si="5"/>
        <v>0</v>
      </c>
      <c r="AA37" s="203">
        <f t="array" ref="AA37">IF(F37="Ruim",IFERROR(INDEX('EQUIPAMENTOS_EFICIENTES (BDD)'!U:U,MATCH(1,('EQUIPAMENTOS_EFICIENTES (BDD)'!O:O=D37)*('EQUIPAMENTOS_EFICIENTES (BDD)'!T:T=E37),0)),0),0)</f>
        <v>0</v>
      </c>
      <c r="AB37" s="203">
        <f t="shared" si="15"/>
        <v>0</v>
      </c>
      <c r="AC37" s="203">
        <f t="shared" si="16"/>
        <v>0</v>
      </c>
      <c r="AD37" s="201">
        <f t="shared" si="17"/>
        <v>21.25</v>
      </c>
      <c r="AE37" s="203">
        <f t="shared" si="18"/>
        <v>0</v>
      </c>
      <c r="AF37" s="201">
        <f t="shared" si="19"/>
        <v>0</v>
      </c>
      <c r="AG37" s="201">
        <f t="shared" si="7"/>
        <v>0</v>
      </c>
      <c r="AH37" s="204">
        <f t="shared" si="8"/>
        <v>0</v>
      </c>
      <c r="AI37" s="205">
        <f t="shared" si="9"/>
        <v>0</v>
      </c>
      <c r="AJ37" s="205">
        <f t="shared" si="10"/>
        <v>0</v>
      </c>
      <c r="AK37" s="205">
        <f t="shared" si="11"/>
        <v>0</v>
      </c>
      <c r="AL37" s="205">
        <f t="shared" si="12"/>
        <v>0</v>
      </c>
    </row>
    <row r="38" spans="1:38" s="64" customFormat="1" x14ac:dyDescent="0.25">
      <c r="A38" s="94" t="e">
        <f>IF(UC_DADOS!$B$2=0,"",UC_DADOS!$B$2)</f>
        <v>#N/A</v>
      </c>
      <c r="B38" s="283"/>
      <c r="C38" s="283"/>
      <c r="D38" s="283"/>
      <c r="E38" s="95"/>
      <c r="F38" s="95"/>
      <c r="G38" s="96"/>
      <c r="H38" s="283"/>
      <c r="I38" s="95"/>
      <c r="J38" s="145">
        <f t="shared" si="13"/>
        <v>0</v>
      </c>
      <c r="K38" s="97"/>
      <c r="L38" s="283"/>
      <c r="M38" s="299">
        <f t="shared" si="14"/>
        <v>0</v>
      </c>
      <c r="N38" s="97"/>
      <c r="O38" s="97"/>
      <c r="P38" s="95">
        <v>21.25</v>
      </c>
      <c r="Q38" s="95"/>
      <c r="R38" s="145">
        <f t="shared" si="0"/>
        <v>0</v>
      </c>
      <c r="S38" s="200">
        <f t="shared" si="1"/>
        <v>0</v>
      </c>
      <c r="T38" s="145">
        <f t="shared" si="2"/>
        <v>0</v>
      </c>
      <c r="U38" s="96">
        <f t="array" ref="U38">IF(F38="Ruim",IFERROR(INDEX('EQUIPAMENTOS_EFICIENTES (BDD)'!O:O,MATCH(1,('EQUIPAMENTOS_EFICIENTES (BDD)'!O:O=D38)*('EQUIPAMENTOS_EFICIENTES (BDD)'!T:T=E38),0)),""),D38)</f>
        <v>0</v>
      </c>
      <c r="V38" s="96">
        <f t="shared" si="3"/>
        <v>0</v>
      </c>
      <c r="W38" s="95">
        <f t="array" ref="W38">IF(F38="Ruim",IFERROR(INDEX('EQUIPAMENTOS_EFICIENTES (BDD)'!Q:Q,MATCH(1,('EQUIPAMENTOS_EFICIENTES (BDD)'!O:O=D38)*('EQUIPAMENTOS_EFICIENTES (BDD)'!T:T=E38),0)),H38),H38)</f>
        <v>0</v>
      </c>
      <c r="X38" s="95">
        <f t="array" ref="X38">IF(F38="Ruim",IFERROR(INDEX('EQUIPAMENTOS_EFICIENTES (BDD)'!S:S,MATCH(1,('EQUIPAMENTOS_EFICIENTES (BDD)'!O:O=D38)*('EQUIPAMENTOS_EFICIENTES (BDD)'!T:T=E38),0)),I38),I38)</f>
        <v>0</v>
      </c>
      <c r="Y38" s="201">
        <f t="shared" si="4"/>
        <v>0</v>
      </c>
      <c r="Z38" s="202">
        <f t="shared" si="5"/>
        <v>0</v>
      </c>
      <c r="AA38" s="203">
        <f t="array" ref="AA38">IF(F38="Ruim",IFERROR(INDEX('EQUIPAMENTOS_EFICIENTES (BDD)'!U:U,MATCH(1,('EQUIPAMENTOS_EFICIENTES (BDD)'!O:O=D38)*('EQUIPAMENTOS_EFICIENTES (BDD)'!T:T=E38),0)),0),0)</f>
        <v>0</v>
      </c>
      <c r="AB38" s="203">
        <f t="shared" si="15"/>
        <v>0</v>
      </c>
      <c r="AC38" s="203">
        <f t="shared" si="16"/>
        <v>0</v>
      </c>
      <c r="AD38" s="201">
        <f t="shared" si="17"/>
        <v>21.25</v>
      </c>
      <c r="AE38" s="203">
        <f t="shared" si="18"/>
        <v>0</v>
      </c>
      <c r="AF38" s="201">
        <f t="shared" si="19"/>
        <v>0</v>
      </c>
      <c r="AG38" s="201">
        <f t="shared" si="7"/>
        <v>0</v>
      </c>
      <c r="AH38" s="204">
        <f t="shared" si="8"/>
        <v>0</v>
      </c>
      <c r="AI38" s="205">
        <f t="shared" si="9"/>
        <v>0</v>
      </c>
      <c r="AJ38" s="205">
        <f t="shared" si="10"/>
        <v>0</v>
      </c>
      <c r="AK38" s="205">
        <f t="shared" si="11"/>
        <v>0</v>
      </c>
      <c r="AL38" s="205">
        <f t="shared" si="12"/>
        <v>0</v>
      </c>
    </row>
    <row r="39" spans="1:38" s="64" customFormat="1" x14ac:dyDescent="0.25">
      <c r="A39" s="94" t="e">
        <f>IF(UC_DADOS!$B$2=0,"",UC_DADOS!$B$2)</f>
        <v>#N/A</v>
      </c>
      <c r="B39" s="283"/>
      <c r="C39" s="283"/>
      <c r="D39" s="283"/>
      <c r="E39" s="95"/>
      <c r="F39" s="95"/>
      <c r="G39" s="96"/>
      <c r="H39" s="283"/>
      <c r="I39" s="95"/>
      <c r="J39" s="145">
        <f t="shared" si="13"/>
        <v>0</v>
      </c>
      <c r="K39" s="97"/>
      <c r="L39" s="283"/>
      <c r="M39" s="299">
        <f t="shared" si="14"/>
        <v>0</v>
      </c>
      <c r="N39" s="97"/>
      <c r="O39" s="97"/>
      <c r="P39" s="95">
        <v>21.25</v>
      </c>
      <c r="Q39" s="95"/>
      <c r="R39" s="145">
        <f t="shared" si="0"/>
        <v>0</v>
      </c>
      <c r="S39" s="200">
        <f t="shared" si="1"/>
        <v>0</v>
      </c>
      <c r="T39" s="145">
        <f t="shared" si="2"/>
        <v>0</v>
      </c>
      <c r="U39" s="96">
        <f t="array" ref="U39">IF(F39="Ruim",IFERROR(INDEX('EQUIPAMENTOS_EFICIENTES (BDD)'!O:O,MATCH(1,('EQUIPAMENTOS_EFICIENTES (BDD)'!O:O=D39)*('EQUIPAMENTOS_EFICIENTES (BDD)'!T:T=E39),0)),""),D39)</f>
        <v>0</v>
      </c>
      <c r="V39" s="96">
        <f t="shared" si="3"/>
        <v>0</v>
      </c>
      <c r="W39" s="95">
        <f t="array" ref="W39">IF(F39="Ruim",IFERROR(INDEX('EQUIPAMENTOS_EFICIENTES (BDD)'!Q:Q,MATCH(1,('EQUIPAMENTOS_EFICIENTES (BDD)'!O:O=D39)*('EQUIPAMENTOS_EFICIENTES (BDD)'!T:T=E39),0)),H39),H39)</f>
        <v>0</v>
      </c>
      <c r="X39" s="95">
        <f t="array" ref="X39">IF(F39="Ruim",IFERROR(INDEX('EQUIPAMENTOS_EFICIENTES (BDD)'!S:S,MATCH(1,('EQUIPAMENTOS_EFICIENTES (BDD)'!O:O=D39)*('EQUIPAMENTOS_EFICIENTES (BDD)'!T:T=E39),0)),I39),I39)</f>
        <v>0</v>
      </c>
      <c r="Y39" s="201">
        <f t="shared" si="4"/>
        <v>0</v>
      </c>
      <c r="Z39" s="202">
        <f t="shared" si="5"/>
        <v>0</v>
      </c>
      <c r="AA39" s="203">
        <f t="array" ref="AA39">IF(F39="Ruim",IFERROR(INDEX('EQUIPAMENTOS_EFICIENTES (BDD)'!U:U,MATCH(1,('EQUIPAMENTOS_EFICIENTES (BDD)'!O:O=D39)*('EQUIPAMENTOS_EFICIENTES (BDD)'!T:T=E39),0)),0),0)</f>
        <v>0</v>
      </c>
      <c r="AB39" s="203">
        <f t="shared" si="15"/>
        <v>0</v>
      </c>
      <c r="AC39" s="203">
        <f t="shared" si="16"/>
        <v>0</v>
      </c>
      <c r="AD39" s="201">
        <f t="shared" si="17"/>
        <v>21.25</v>
      </c>
      <c r="AE39" s="203">
        <f t="shared" si="18"/>
        <v>0</v>
      </c>
      <c r="AF39" s="201">
        <f t="shared" si="19"/>
        <v>0</v>
      </c>
      <c r="AG39" s="201">
        <f t="shared" si="7"/>
        <v>0</v>
      </c>
      <c r="AH39" s="204">
        <f t="shared" si="8"/>
        <v>0</v>
      </c>
      <c r="AI39" s="205">
        <f t="shared" si="9"/>
        <v>0</v>
      </c>
      <c r="AJ39" s="205">
        <f t="shared" si="10"/>
        <v>0</v>
      </c>
      <c r="AK39" s="205">
        <f t="shared" si="11"/>
        <v>0</v>
      </c>
      <c r="AL39" s="205">
        <f t="shared" si="12"/>
        <v>0</v>
      </c>
    </row>
    <row r="40" spans="1:38" s="64" customFormat="1" x14ac:dyDescent="0.25">
      <c r="A40" s="94" t="e">
        <f>IF(UC_DADOS!$B$2=0,"",UC_DADOS!$B$2)</f>
        <v>#N/A</v>
      </c>
      <c r="B40" s="283"/>
      <c r="C40" s="283"/>
      <c r="D40" s="283"/>
      <c r="E40" s="95"/>
      <c r="F40" s="95"/>
      <c r="G40" s="96"/>
      <c r="H40" s="283"/>
      <c r="I40" s="95"/>
      <c r="J40" s="145">
        <f t="shared" ref="J40:J46" si="20">(H40*I40)/1000</f>
        <v>0</v>
      </c>
      <c r="K40" s="97"/>
      <c r="L40" s="283"/>
      <c r="M40" s="299">
        <f t="shared" ref="M40:M46" si="21">L40*N40*O40</f>
        <v>0</v>
      </c>
      <c r="N40" s="97"/>
      <c r="O40" s="97"/>
      <c r="P40" s="95">
        <v>21.25</v>
      </c>
      <c r="Q40" s="95"/>
      <c r="R40" s="145">
        <f t="shared" ref="R40:R46" si="22">N40*P40*Q40/765</f>
        <v>0</v>
      </c>
      <c r="S40" s="200">
        <f t="shared" ref="S40:S46" si="23">(J40*M40)/1000</f>
        <v>0</v>
      </c>
      <c r="T40" s="145">
        <f t="shared" ref="T40:T46" si="24">J40*R40</f>
        <v>0</v>
      </c>
      <c r="U40" s="96">
        <f t="array" ref="U40">IF(F40="Ruim",IFERROR(INDEX('EQUIPAMENTOS_EFICIENTES (BDD)'!O:O,MATCH(1,('EQUIPAMENTOS_EFICIENTES (BDD)'!O:O=D40)*('EQUIPAMENTOS_EFICIENTES (BDD)'!T:T=E40),0)),""),D40)</f>
        <v>0</v>
      </c>
      <c r="V40" s="96">
        <f t="shared" ref="V40:V46" si="25">E40</f>
        <v>0</v>
      </c>
      <c r="W40" s="95">
        <f t="array" ref="W40">IF(F40="Ruim",IFERROR(INDEX('EQUIPAMENTOS_EFICIENTES (BDD)'!Q:Q,MATCH(1,('EQUIPAMENTOS_EFICIENTES (BDD)'!O:O=D40)*('EQUIPAMENTOS_EFICIENTES (BDD)'!T:T=E40),0)),H40),H40)</f>
        <v>0</v>
      </c>
      <c r="X40" s="95">
        <f t="array" ref="X40">IF(F40="Ruim",IFERROR(INDEX('EQUIPAMENTOS_EFICIENTES (BDD)'!S:S,MATCH(1,('EQUIPAMENTOS_EFICIENTES (BDD)'!O:O=D40)*('EQUIPAMENTOS_EFICIENTES (BDD)'!T:T=E40),0)),I40),I40)</f>
        <v>0</v>
      </c>
      <c r="Y40" s="201">
        <f t="shared" ref="Y40:Y46" si="26">(X40*W40)/1000</f>
        <v>0</v>
      </c>
      <c r="Z40" s="202">
        <f t="shared" ref="Z40:Z46" si="27">K40</f>
        <v>0</v>
      </c>
      <c r="AA40" s="203">
        <f t="array" ref="AA40">IF(F40="Ruim",IFERROR(INDEX('EQUIPAMENTOS_EFICIENTES (BDD)'!U:U,MATCH(1,('EQUIPAMENTOS_EFICIENTES (BDD)'!O:O=D40)*('EQUIPAMENTOS_EFICIENTES (BDD)'!T:T=E40),0)),0),0)</f>
        <v>0</v>
      </c>
      <c r="AB40" s="203">
        <f t="shared" ref="AB40:AB46" si="28">M40</f>
        <v>0</v>
      </c>
      <c r="AC40" s="203">
        <f t="shared" ref="AC40:AC46" si="29">N40</f>
        <v>0</v>
      </c>
      <c r="AD40" s="201">
        <f t="shared" ref="AD40:AD46" si="30">P40</f>
        <v>21.25</v>
      </c>
      <c r="AE40" s="203">
        <f t="shared" ref="AE40:AE46" si="31">Q40</f>
        <v>0</v>
      </c>
      <c r="AF40" s="201">
        <f t="shared" ref="AF40:AF46" si="32">R40</f>
        <v>0</v>
      </c>
      <c r="AG40" s="201">
        <f t="shared" ref="AG40:AG46" si="33">(AB40*Y40)/1000</f>
        <v>0</v>
      </c>
      <c r="AH40" s="204">
        <f t="shared" ref="AH40:AH46" si="34">AF40*Y40/1000</f>
        <v>0</v>
      </c>
      <c r="AI40" s="205">
        <f t="shared" ref="AI40:AI46" si="35">T40-AH40</f>
        <v>0</v>
      </c>
      <c r="AJ40" s="205">
        <f t="shared" ref="AJ40:AJ46" si="36">(S40-AG40)</f>
        <v>0</v>
      </c>
      <c r="AK40" s="205">
        <f t="shared" ref="AK40:AK46" si="37">IF(AJ40&gt;0,Z40*AA40,0)</f>
        <v>0</v>
      </c>
      <c r="AL40" s="205">
        <f t="shared" ref="AL40:AL46" si="38">AJ40/478.332</f>
        <v>0</v>
      </c>
    </row>
    <row r="41" spans="1:38" s="64" customFormat="1" x14ac:dyDescent="0.25">
      <c r="A41" s="94" t="e">
        <f>IF(UC_DADOS!$B$2=0,"",UC_DADOS!$B$2)</f>
        <v>#N/A</v>
      </c>
      <c r="B41" s="283"/>
      <c r="C41" s="283"/>
      <c r="D41" s="283"/>
      <c r="E41" s="95"/>
      <c r="F41" s="95"/>
      <c r="G41" s="96"/>
      <c r="H41" s="283"/>
      <c r="I41" s="95"/>
      <c r="J41" s="145">
        <f t="shared" si="20"/>
        <v>0</v>
      </c>
      <c r="K41" s="97"/>
      <c r="L41" s="283"/>
      <c r="M41" s="299">
        <f t="shared" si="21"/>
        <v>0</v>
      </c>
      <c r="N41" s="97"/>
      <c r="O41" s="97"/>
      <c r="P41" s="95">
        <v>21.25</v>
      </c>
      <c r="Q41" s="95"/>
      <c r="R41" s="145">
        <f t="shared" si="22"/>
        <v>0</v>
      </c>
      <c r="S41" s="200">
        <f t="shared" si="23"/>
        <v>0</v>
      </c>
      <c r="T41" s="145">
        <f t="shared" si="24"/>
        <v>0</v>
      </c>
      <c r="U41" s="96">
        <f t="array" ref="U41">IF(F41="Ruim",IFERROR(INDEX('EQUIPAMENTOS_EFICIENTES (BDD)'!O:O,MATCH(1,('EQUIPAMENTOS_EFICIENTES (BDD)'!O:O=D41)*('EQUIPAMENTOS_EFICIENTES (BDD)'!T:T=E41),0)),""),D41)</f>
        <v>0</v>
      </c>
      <c r="V41" s="96">
        <f t="shared" si="25"/>
        <v>0</v>
      </c>
      <c r="W41" s="95">
        <f t="array" ref="W41">IF(F41="Ruim",IFERROR(INDEX('EQUIPAMENTOS_EFICIENTES (BDD)'!Q:Q,MATCH(1,('EQUIPAMENTOS_EFICIENTES (BDD)'!O:O=D41)*('EQUIPAMENTOS_EFICIENTES (BDD)'!T:T=E41),0)),H41),H41)</f>
        <v>0</v>
      </c>
      <c r="X41" s="95">
        <f t="array" ref="X41">IF(F41="Ruim",IFERROR(INDEX('EQUIPAMENTOS_EFICIENTES (BDD)'!S:S,MATCH(1,('EQUIPAMENTOS_EFICIENTES (BDD)'!O:O=D41)*('EQUIPAMENTOS_EFICIENTES (BDD)'!T:T=E41),0)),I41),I41)</f>
        <v>0</v>
      </c>
      <c r="Y41" s="201">
        <f t="shared" si="26"/>
        <v>0</v>
      </c>
      <c r="Z41" s="202">
        <f t="shared" si="27"/>
        <v>0</v>
      </c>
      <c r="AA41" s="203">
        <f t="array" ref="AA41">IF(F41="Ruim",IFERROR(INDEX('EQUIPAMENTOS_EFICIENTES (BDD)'!U:U,MATCH(1,('EQUIPAMENTOS_EFICIENTES (BDD)'!O:O=D41)*('EQUIPAMENTOS_EFICIENTES (BDD)'!T:T=E41),0)),0),0)</f>
        <v>0</v>
      </c>
      <c r="AB41" s="203">
        <f t="shared" si="28"/>
        <v>0</v>
      </c>
      <c r="AC41" s="203">
        <f t="shared" si="29"/>
        <v>0</v>
      </c>
      <c r="AD41" s="201">
        <f t="shared" si="30"/>
        <v>21.25</v>
      </c>
      <c r="AE41" s="203">
        <f t="shared" si="31"/>
        <v>0</v>
      </c>
      <c r="AF41" s="201">
        <f t="shared" si="32"/>
        <v>0</v>
      </c>
      <c r="AG41" s="201">
        <f t="shared" si="33"/>
        <v>0</v>
      </c>
      <c r="AH41" s="204">
        <f t="shared" si="34"/>
        <v>0</v>
      </c>
      <c r="AI41" s="205">
        <f t="shared" si="35"/>
        <v>0</v>
      </c>
      <c r="AJ41" s="205">
        <f t="shared" si="36"/>
        <v>0</v>
      </c>
      <c r="AK41" s="205">
        <f t="shared" si="37"/>
        <v>0</v>
      </c>
      <c r="AL41" s="205">
        <f t="shared" si="38"/>
        <v>0</v>
      </c>
    </row>
    <row r="42" spans="1:38" s="64" customFormat="1" x14ac:dyDescent="0.25">
      <c r="A42" s="94" t="e">
        <f>IF(UC_DADOS!$B$2=0,"",UC_DADOS!$B$2)</f>
        <v>#N/A</v>
      </c>
      <c r="B42" s="283"/>
      <c r="C42" s="283"/>
      <c r="D42" s="283"/>
      <c r="E42" s="95"/>
      <c r="F42" s="95"/>
      <c r="G42" s="96"/>
      <c r="H42" s="283"/>
      <c r="I42" s="95"/>
      <c r="J42" s="145">
        <f t="shared" si="20"/>
        <v>0</v>
      </c>
      <c r="K42" s="97"/>
      <c r="L42" s="283"/>
      <c r="M42" s="299">
        <f t="shared" si="21"/>
        <v>0</v>
      </c>
      <c r="N42" s="97"/>
      <c r="O42" s="97"/>
      <c r="P42" s="95">
        <v>21.25</v>
      </c>
      <c r="Q42" s="95"/>
      <c r="R42" s="145">
        <f t="shared" si="22"/>
        <v>0</v>
      </c>
      <c r="S42" s="200">
        <f t="shared" si="23"/>
        <v>0</v>
      </c>
      <c r="T42" s="145">
        <f t="shared" si="24"/>
        <v>0</v>
      </c>
      <c r="U42" s="96">
        <f t="array" ref="U42">IF(F42="Ruim",IFERROR(INDEX('EQUIPAMENTOS_EFICIENTES (BDD)'!O:O,MATCH(1,('EQUIPAMENTOS_EFICIENTES (BDD)'!O:O=D42)*('EQUIPAMENTOS_EFICIENTES (BDD)'!T:T=E42),0)),""),D42)</f>
        <v>0</v>
      </c>
      <c r="V42" s="96">
        <f t="shared" si="25"/>
        <v>0</v>
      </c>
      <c r="W42" s="95">
        <f t="array" ref="W42">IF(F42="Ruim",IFERROR(INDEX('EQUIPAMENTOS_EFICIENTES (BDD)'!Q:Q,MATCH(1,('EQUIPAMENTOS_EFICIENTES (BDD)'!O:O=D42)*('EQUIPAMENTOS_EFICIENTES (BDD)'!T:T=E42),0)),H42),H42)</f>
        <v>0</v>
      </c>
      <c r="X42" s="95">
        <f t="array" ref="X42">IF(F42="Ruim",IFERROR(INDEX('EQUIPAMENTOS_EFICIENTES (BDD)'!S:S,MATCH(1,('EQUIPAMENTOS_EFICIENTES (BDD)'!O:O=D42)*('EQUIPAMENTOS_EFICIENTES (BDD)'!T:T=E42),0)),I42),I42)</f>
        <v>0</v>
      </c>
      <c r="Y42" s="201">
        <f t="shared" si="26"/>
        <v>0</v>
      </c>
      <c r="Z42" s="202">
        <f t="shared" si="27"/>
        <v>0</v>
      </c>
      <c r="AA42" s="203">
        <f t="array" ref="AA42">IF(F42="Ruim",IFERROR(INDEX('EQUIPAMENTOS_EFICIENTES (BDD)'!U:U,MATCH(1,('EQUIPAMENTOS_EFICIENTES (BDD)'!O:O=D42)*('EQUIPAMENTOS_EFICIENTES (BDD)'!T:T=E42),0)),0),0)</f>
        <v>0</v>
      </c>
      <c r="AB42" s="203">
        <f t="shared" si="28"/>
        <v>0</v>
      </c>
      <c r="AC42" s="203">
        <f t="shared" si="29"/>
        <v>0</v>
      </c>
      <c r="AD42" s="201">
        <f t="shared" si="30"/>
        <v>21.25</v>
      </c>
      <c r="AE42" s="203">
        <f t="shared" si="31"/>
        <v>0</v>
      </c>
      <c r="AF42" s="201">
        <f t="shared" si="32"/>
        <v>0</v>
      </c>
      <c r="AG42" s="201">
        <f t="shared" si="33"/>
        <v>0</v>
      </c>
      <c r="AH42" s="204">
        <f t="shared" si="34"/>
        <v>0</v>
      </c>
      <c r="AI42" s="205">
        <f t="shared" si="35"/>
        <v>0</v>
      </c>
      <c r="AJ42" s="205">
        <f t="shared" si="36"/>
        <v>0</v>
      </c>
      <c r="AK42" s="205">
        <f t="shared" si="37"/>
        <v>0</v>
      </c>
      <c r="AL42" s="205">
        <f t="shared" si="38"/>
        <v>0</v>
      </c>
    </row>
    <row r="43" spans="1:38" s="64" customFormat="1" x14ac:dyDescent="0.25">
      <c r="A43" s="94" t="e">
        <f>IF(UC_DADOS!$B$2=0,"",UC_DADOS!$B$2)</f>
        <v>#N/A</v>
      </c>
      <c r="B43" s="283"/>
      <c r="C43" s="283"/>
      <c r="D43" s="283"/>
      <c r="E43" s="95"/>
      <c r="F43" s="95"/>
      <c r="G43" s="96"/>
      <c r="H43" s="283"/>
      <c r="I43" s="95"/>
      <c r="J43" s="145">
        <f t="shared" si="20"/>
        <v>0</v>
      </c>
      <c r="K43" s="97"/>
      <c r="L43" s="283"/>
      <c r="M43" s="299">
        <f t="shared" si="21"/>
        <v>0</v>
      </c>
      <c r="N43" s="97"/>
      <c r="O43" s="97"/>
      <c r="P43" s="95">
        <v>21.25</v>
      </c>
      <c r="Q43" s="95"/>
      <c r="R43" s="145">
        <f t="shared" si="22"/>
        <v>0</v>
      </c>
      <c r="S43" s="200">
        <f t="shared" si="23"/>
        <v>0</v>
      </c>
      <c r="T43" s="145">
        <f t="shared" si="24"/>
        <v>0</v>
      </c>
      <c r="U43" s="96">
        <f t="array" ref="U43">IF(F43="Ruim",IFERROR(INDEX('EQUIPAMENTOS_EFICIENTES (BDD)'!O:O,MATCH(1,('EQUIPAMENTOS_EFICIENTES (BDD)'!O:O=D43)*('EQUIPAMENTOS_EFICIENTES (BDD)'!T:T=E43),0)),""),D43)</f>
        <v>0</v>
      </c>
      <c r="V43" s="96">
        <f t="shared" si="25"/>
        <v>0</v>
      </c>
      <c r="W43" s="95">
        <f t="array" ref="W43">IF(F43="Ruim",IFERROR(INDEX('EQUIPAMENTOS_EFICIENTES (BDD)'!Q:Q,MATCH(1,('EQUIPAMENTOS_EFICIENTES (BDD)'!O:O=D43)*('EQUIPAMENTOS_EFICIENTES (BDD)'!T:T=E43),0)),H43),H43)</f>
        <v>0</v>
      </c>
      <c r="X43" s="95">
        <f t="array" ref="X43">IF(F43="Ruim",IFERROR(INDEX('EQUIPAMENTOS_EFICIENTES (BDD)'!S:S,MATCH(1,('EQUIPAMENTOS_EFICIENTES (BDD)'!O:O=D43)*('EQUIPAMENTOS_EFICIENTES (BDD)'!T:T=E43),0)),I43),I43)</f>
        <v>0</v>
      </c>
      <c r="Y43" s="201">
        <f t="shared" si="26"/>
        <v>0</v>
      </c>
      <c r="Z43" s="202">
        <f t="shared" si="27"/>
        <v>0</v>
      </c>
      <c r="AA43" s="203">
        <f t="array" ref="AA43">IF(F43="Ruim",IFERROR(INDEX('EQUIPAMENTOS_EFICIENTES (BDD)'!U:U,MATCH(1,('EQUIPAMENTOS_EFICIENTES (BDD)'!O:O=D43)*('EQUIPAMENTOS_EFICIENTES (BDD)'!T:T=E43),0)),0),0)</f>
        <v>0</v>
      </c>
      <c r="AB43" s="203">
        <f t="shared" si="28"/>
        <v>0</v>
      </c>
      <c r="AC43" s="203">
        <f t="shared" si="29"/>
        <v>0</v>
      </c>
      <c r="AD43" s="201">
        <f t="shared" si="30"/>
        <v>21.25</v>
      </c>
      <c r="AE43" s="203">
        <f t="shared" si="31"/>
        <v>0</v>
      </c>
      <c r="AF43" s="201">
        <f t="shared" si="32"/>
        <v>0</v>
      </c>
      <c r="AG43" s="201">
        <f t="shared" si="33"/>
        <v>0</v>
      </c>
      <c r="AH43" s="204">
        <f t="shared" si="34"/>
        <v>0</v>
      </c>
      <c r="AI43" s="205">
        <f t="shared" si="35"/>
        <v>0</v>
      </c>
      <c r="AJ43" s="205">
        <f t="shared" si="36"/>
        <v>0</v>
      </c>
      <c r="AK43" s="205">
        <f t="shared" si="37"/>
        <v>0</v>
      </c>
      <c r="AL43" s="205">
        <f t="shared" si="38"/>
        <v>0</v>
      </c>
    </row>
    <row r="44" spans="1:38" s="64" customFormat="1" x14ac:dyDescent="0.25">
      <c r="A44" s="94" t="e">
        <f>IF(UC_DADOS!$B$2=0,"",UC_DADOS!$B$2)</f>
        <v>#N/A</v>
      </c>
      <c r="B44" s="283"/>
      <c r="C44" s="283"/>
      <c r="D44" s="283"/>
      <c r="E44" s="95"/>
      <c r="F44" s="95"/>
      <c r="G44" s="96"/>
      <c r="H44" s="283"/>
      <c r="I44" s="95"/>
      <c r="J44" s="145">
        <f t="shared" si="20"/>
        <v>0</v>
      </c>
      <c r="K44" s="97"/>
      <c r="L44" s="283"/>
      <c r="M44" s="299">
        <f t="shared" si="21"/>
        <v>0</v>
      </c>
      <c r="N44" s="97"/>
      <c r="O44" s="97"/>
      <c r="P44" s="95">
        <v>21.25</v>
      </c>
      <c r="Q44" s="95"/>
      <c r="R44" s="145">
        <f t="shared" si="22"/>
        <v>0</v>
      </c>
      <c r="S44" s="200">
        <f t="shared" si="23"/>
        <v>0</v>
      </c>
      <c r="T44" s="145">
        <f t="shared" si="24"/>
        <v>0</v>
      </c>
      <c r="U44" s="96">
        <f t="array" ref="U44">IF(F44="Ruim",IFERROR(INDEX('EQUIPAMENTOS_EFICIENTES (BDD)'!O:O,MATCH(1,('EQUIPAMENTOS_EFICIENTES (BDD)'!O:O=D44)*('EQUIPAMENTOS_EFICIENTES (BDD)'!T:T=E44),0)),""),D44)</f>
        <v>0</v>
      </c>
      <c r="V44" s="96">
        <f t="shared" si="25"/>
        <v>0</v>
      </c>
      <c r="W44" s="95">
        <f t="array" ref="W44">IF(F44="Ruim",IFERROR(INDEX('EQUIPAMENTOS_EFICIENTES (BDD)'!Q:Q,MATCH(1,('EQUIPAMENTOS_EFICIENTES (BDD)'!O:O=D44)*('EQUIPAMENTOS_EFICIENTES (BDD)'!T:T=E44),0)),H44),H44)</f>
        <v>0</v>
      </c>
      <c r="X44" s="95">
        <f t="array" ref="X44">IF(F44="Ruim",IFERROR(INDEX('EQUIPAMENTOS_EFICIENTES (BDD)'!S:S,MATCH(1,('EQUIPAMENTOS_EFICIENTES (BDD)'!O:O=D44)*('EQUIPAMENTOS_EFICIENTES (BDD)'!T:T=E44),0)),I44),I44)</f>
        <v>0</v>
      </c>
      <c r="Y44" s="201">
        <f t="shared" si="26"/>
        <v>0</v>
      </c>
      <c r="Z44" s="202">
        <f t="shared" si="27"/>
        <v>0</v>
      </c>
      <c r="AA44" s="203">
        <f t="array" ref="AA44">IF(F44="Ruim",IFERROR(INDEX('EQUIPAMENTOS_EFICIENTES (BDD)'!U:U,MATCH(1,('EQUIPAMENTOS_EFICIENTES (BDD)'!O:O=D44)*('EQUIPAMENTOS_EFICIENTES (BDD)'!T:T=E44),0)),0),0)</f>
        <v>0</v>
      </c>
      <c r="AB44" s="203">
        <f t="shared" si="28"/>
        <v>0</v>
      </c>
      <c r="AC44" s="203">
        <f t="shared" si="29"/>
        <v>0</v>
      </c>
      <c r="AD44" s="201">
        <f t="shared" si="30"/>
        <v>21.25</v>
      </c>
      <c r="AE44" s="203">
        <f t="shared" si="31"/>
        <v>0</v>
      </c>
      <c r="AF44" s="201">
        <f t="shared" si="32"/>
        <v>0</v>
      </c>
      <c r="AG44" s="201">
        <f t="shared" si="33"/>
        <v>0</v>
      </c>
      <c r="AH44" s="204">
        <f t="shared" si="34"/>
        <v>0</v>
      </c>
      <c r="AI44" s="205">
        <f t="shared" si="35"/>
        <v>0</v>
      </c>
      <c r="AJ44" s="205">
        <f t="shared" si="36"/>
        <v>0</v>
      </c>
      <c r="AK44" s="205">
        <f t="shared" si="37"/>
        <v>0</v>
      </c>
      <c r="AL44" s="205">
        <f t="shared" si="38"/>
        <v>0</v>
      </c>
    </row>
    <row r="45" spans="1:38" s="64" customFormat="1" x14ac:dyDescent="0.25">
      <c r="A45" s="94" t="e">
        <f>IF(UC_DADOS!$B$2=0,"",UC_DADOS!$B$2)</f>
        <v>#N/A</v>
      </c>
      <c r="B45" s="283"/>
      <c r="C45" s="283"/>
      <c r="D45" s="283"/>
      <c r="E45" s="95"/>
      <c r="F45" s="95"/>
      <c r="G45" s="96"/>
      <c r="H45" s="283"/>
      <c r="I45" s="95"/>
      <c r="J45" s="145">
        <f t="shared" si="20"/>
        <v>0</v>
      </c>
      <c r="K45" s="97"/>
      <c r="L45" s="283"/>
      <c r="M45" s="299">
        <f t="shared" si="21"/>
        <v>0</v>
      </c>
      <c r="N45" s="97"/>
      <c r="O45" s="97"/>
      <c r="P45" s="95">
        <v>21.25</v>
      </c>
      <c r="Q45" s="95"/>
      <c r="R45" s="145">
        <f t="shared" si="22"/>
        <v>0</v>
      </c>
      <c r="S45" s="200">
        <f t="shared" si="23"/>
        <v>0</v>
      </c>
      <c r="T45" s="145">
        <f t="shared" si="24"/>
        <v>0</v>
      </c>
      <c r="U45" s="96">
        <f t="array" ref="U45">IF(F45="Ruim",IFERROR(INDEX('EQUIPAMENTOS_EFICIENTES (BDD)'!O:O,MATCH(1,('EQUIPAMENTOS_EFICIENTES (BDD)'!O:O=D45)*('EQUIPAMENTOS_EFICIENTES (BDD)'!T:T=E45),0)),""),D45)</f>
        <v>0</v>
      </c>
      <c r="V45" s="96">
        <f t="shared" si="25"/>
        <v>0</v>
      </c>
      <c r="W45" s="95">
        <f t="array" ref="W45">IF(F45="Ruim",IFERROR(INDEX('EQUIPAMENTOS_EFICIENTES (BDD)'!Q:Q,MATCH(1,('EQUIPAMENTOS_EFICIENTES (BDD)'!O:O=D45)*('EQUIPAMENTOS_EFICIENTES (BDD)'!T:T=E45),0)),H45),H45)</f>
        <v>0</v>
      </c>
      <c r="X45" s="95">
        <f t="array" ref="X45">IF(F45="Ruim",IFERROR(INDEX('EQUIPAMENTOS_EFICIENTES (BDD)'!S:S,MATCH(1,('EQUIPAMENTOS_EFICIENTES (BDD)'!O:O=D45)*('EQUIPAMENTOS_EFICIENTES (BDD)'!T:T=E45),0)),I45),I45)</f>
        <v>0</v>
      </c>
      <c r="Y45" s="201">
        <f t="shared" si="26"/>
        <v>0</v>
      </c>
      <c r="Z45" s="202">
        <f t="shared" si="27"/>
        <v>0</v>
      </c>
      <c r="AA45" s="203">
        <f t="array" ref="AA45">IF(F45="Ruim",IFERROR(INDEX('EQUIPAMENTOS_EFICIENTES (BDD)'!U:U,MATCH(1,('EQUIPAMENTOS_EFICIENTES (BDD)'!O:O=D45)*('EQUIPAMENTOS_EFICIENTES (BDD)'!T:T=E45),0)),0),0)</f>
        <v>0</v>
      </c>
      <c r="AB45" s="203">
        <f t="shared" si="28"/>
        <v>0</v>
      </c>
      <c r="AC45" s="203">
        <f t="shared" si="29"/>
        <v>0</v>
      </c>
      <c r="AD45" s="201">
        <f t="shared" si="30"/>
        <v>21.25</v>
      </c>
      <c r="AE45" s="203">
        <f t="shared" si="31"/>
        <v>0</v>
      </c>
      <c r="AF45" s="201">
        <f t="shared" si="32"/>
        <v>0</v>
      </c>
      <c r="AG45" s="201">
        <f t="shared" si="33"/>
        <v>0</v>
      </c>
      <c r="AH45" s="204">
        <f t="shared" si="34"/>
        <v>0</v>
      </c>
      <c r="AI45" s="205">
        <f t="shared" si="35"/>
        <v>0</v>
      </c>
      <c r="AJ45" s="205">
        <f t="shared" si="36"/>
        <v>0</v>
      </c>
      <c r="AK45" s="205">
        <f t="shared" si="37"/>
        <v>0</v>
      </c>
      <c r="AL45" s="205">
        <f t="shared" si="38"/>
        <v>0</v>
      </c>
    </row>
    <row r="46" spans="1:38" s="64" customFormat="1" x14ac:dyDescent="0.25">
      <c r="A46" s="94" t="e">
        <f>IF(UC_DADOS!$B$2=0,"",UC_DADOS!$B$2)</f>
        <v>#N/A</v>
      </c>
      <c r="B46" s="283"/>
      <c r="C46" s="283"/>
      <c r="D46" s="283"/>
      <c r="E46" s="95"/>
      <c r="F46" s="95"/>
      <c r="G46" s="96"/>
      <c r="H46" s="283"/>
      <c r="I46" s="95"/>
      <c r="J46" s="145">
        <f t="shared" si="20"/>
        <v>0</v>
      </c>
      <c r="K46" s="97"/>
      <c r="L46" s="283"/>
      <c r="M46" s="299">
        <f t="shared" si="21"/>
        <v>0</v>
      </c>
      <c r="N46" s="97"/>
      <c r="O46" s="97"/>
      <c r="P46" s="95">
        <v>21.25</v>
      </c>
      <c r="Q46" s="95"/>
      <c r="R46" s="145">
        <f t="shared" si="22"/>
        <v>0</v>
      </c>
      <c r="S46" s="200">
        <f t="shared" si="23"/>
        <v>0</v>
      </c>
      <c r="T46" s="145">
        <f t="shared" si="24"/>
        <v>0</v>
      </c>
      <c r="U46" s="96">
        <f t="array" ref="U46">IF(F46="Ruim",IFERROR(INDEX('EQUIPAMENTOS_EFICIENTES (BDD)'!O:O,MATCH(1,('EQUIPAMENTOS_EFICIENTES (BDD)'!O:O=D46)*('EQUIPAMENTOS_EFICIENTES (BDD)'!T:T=E46),0)),""),D46)</f>
        <v>0</v>
      </c>
      <c r="V46" s="96">
        <f t="shared" si="25"/>
        <v>0</v>
      </c>
      <c r="W46" s="95">
        <f t="array" ref="W46">IF(F46="Ruim",IFERROR(INDEX('EQUIPAMENTOS_EFICIENTES (BDD)'!Q:Q,MATCH(1,('EQUIPAMENTOS_EFICIENTES (BDD)'!O:O=D46)*('EQUIPAMENTOS_EFICIENTES (BDD)'!T:T=E46),0)),H46),H46)</f>
        <v>0</v>
      </c>
      <c r="X46" s="95">
        <f t="array" ref="X46">IF(F46="Ruim",IFERROR(INDEX('EQUIPAMENTOS_EFICIENTES (BDD)'!S:S,MATCH(1,('EQUIPAMENTOS_EFICIENTES (BDD)'!O:O=D46)*('EQUIPAMENTOS_EFICIENTES (BDD)'!T:T=E46),0)),I46),I46)</f>
        <v>0</v>
      </c>
      <c r="Y46" s="201">
        <f t="shared" si="26"/>
        <v>0</v>
      </c>
      <c r="Z46" s="202">
        <f t="shared" si="27"/>
        <v>0</v>
      </c>
      <c r="AA46" s="203">
        <f t="array" ref="AA46">IF(F46="Ruim",IFERROR(INDEX('EQUIPAMENTOS_EFICIENTES (BDD)'!U:U,MATCH(1,('EQUIPAMENTOS_EFICIENTES (BDD)'!O:O=D46)*('EQUIPAMENTOS_EFICIENTES (BDD)'!T:T=E46),0)),0),0)</f>
        <v>0</v>
      </c>
      <c r="AB46" s="203">
        <f t="shared" si="28"/>
        <v>0</v>
      </c>
      <c r="AC46" s="203">
        <f t="shared" si="29"/>
        <v>0</v>
      </c>
      <c r="AD46" s="201">
        <f t="shared" si="30"/>
        <v>21.25</v>
      </c>
      <c r="AE46" s="203">
        <f t="shared" si="31"/>
        <v>0</v>
      </c>
      <c r="AF46" s="201">
        <f t="shared" si="32"/>
        <v>0</v>
      </c>
      <c r="AG46" s="201">
        <f t="shared" si="33"/>
        <v>0</v>
      </c>
      <c r="AH46" s="204">
        <f t="shared" si="34"/>
        <v>0</v>
      </c>
      <c r="AI46" s="205">
        <f t="shared" si="35"/>
        <v>0</v>
      </c>
      <c r="AJ46" s="205">
        <f t="shared" si="36"/>
        <v>0</v>
      </c>
      <c r="AK46" s="205">
        <f t="shared" si="37"/>
        <v>0</v>
      </c>
      <c r="AL46" s="205">
        <f t="shared" si="38"/>
        <v>0</v>
      </c>
    </row>
    <row r="47" spans="1:38" s="64" customFormat="1" x14ac:dyDescent="0.25">
      <c r="A47" s="206"/>
      <c r="B47" s="207"/>
      <c r="C47" s="208"/>
      <c r="D47" s="197" t="s">
        <v>554</v>
      </c>
      <c r="E47" s="209"/>
      <c r="F47" s="209"/>
      <c r="G47" s="209"/>
      <c r="H47" s="210"/>
      <c r="I47" s="210"/>
      <c r="J47" s="211">
        <f>SUBTOTAL(9,J3:J46)</f>
        <v>0</v>
      </c>
      <c r="K47" s="211">
        <f>SUBTOTAL(9,K3:K46)</f>
        <v>0</v>
      </c>
      <c r="L47" s="211"/>
      <c r="M47" s="211"/>
      <c r="N47" s="211"/>
      <c r="O47" s="211"/>
      <c r="P47" s="211"/>
      <c r="Q47" s="211"/>
      <c r="R47" s="211"/>
      <c r="S47" s="211">
        <f>SUBTOTAL(9,S3:S46)</f>
        <v>0</v>
      </c>
      <c r="T47" s="211">
        <f>SUBTOTAL(9,T3:T46)</f>
        <v>0</v>
      </c>
      <c r="U47" s="197"/>
      <c r="V47" s="197"/>
      <c r="W47" s="211"/>
      <c r="X47" s="211"/>
      <c r="Y47" s="211">
        <f>SUBTOTAL(9,Y3:Y46)</f>
        <v>0</v>
      </c>
      <c r="Z47" s="211">
        <f>SUM(Z3:Z46)</f>
        <v>0</v>
      </c>
      <c r="AA47" s="211">
        <f>SUBTOTAL(9,AA3:AA46)</f>
        <v>0</v>
      </c>
      <c r="AB47" s="211"/>
      <c r="AC47" s="211"/>
      <c r="AD47" s="211"/>
      <c r="AE47" s="211"/>
      <c r="AF47" s="211"/>
      <c r="AG47" s="211">
        <f>SUBTOTAL(9,AG3:AG46)</f>
        <v>0</v>
      </c>
      <c r="AH47" s="211">
        <f>SUBTOTAL(9,AH3:AH46)</f>
        <v>0</v>
      </c>
      <c r="AI47" s="198">
        <f>SUM(AI3:AI46)</f>
        <v>0</v>
      </c>
      <c r="AJ47" s="198">
        <f>SUM(AJ3:AJ46)</f>
        <v>0</v>
      </c>
      <c r="AK47" s="198">
        <f>SUM(AK3:AK46)</f>
        <v>0</v>
      </c>
      <c r="AL47" s="198">
        <f>SUM(AL3:AL46)</f>
        <v>0</v>
      </c>
    </row>
  </sheetData>
  <autoFilter ref="A1:AL47" xr:uid="{00000000-0009-0000-0000-000009000000}">
    <filterColumn colId="11" showButton="0"/>
    <filterColumn colId="14" showButton="0"/>
    <filterColumn colId="34">
      <filters blank="1">
        <filter val="10,63"/>
        <filter val="15,45"/>
        <filter val="15,84"/>
        <filter val="18,91"/>
        <filter val="20,28"/>
        <filter val="22,41"/>
        <filter val="22,80"/>
        <filter val="23,54"/>
        <filter val="24,15"/>
        <filter val="3,19"/>
        <filter val="46,56"/>
        <filter val="5,80"/>
        <filter val="Redução de demanda na ponta (kW)"/>
      </filters>
    </filterColumn>
  </autoFilter>
  <mergeCells count="4">
    <mergeCell ref="A1:C1"/>
    <mergeCell ref="D1:T1"/>
    <mergeCell ref="AI1:AL1"/>
    <mergeCell ref="U1:AH1"/>
  </mergeCells>
  <dataValidations count="2">
    <dataValidation type="list" allowBlank="1" showInputMessage="1" showErrorMessage="1" sqref="F3:F46" xr:uid="{00000000-0002-0000-0900-000000000000}">
      <formula1>"Bom, Ruim"</formula1>
    </dataValidation>
    <dataValidation type="list" allowBlank="1" showInputMessage="1" showErrorMessage="1" sqref="E3:E46" xr:uid="{00000000-0002-0000-0900-000001000000}">
      <formula1>"Pequeno, Médio, Grande"</formula1>
    </dataValidation>
  </dataValidation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53"/>
  <sheetViews>
    <sheetView zoomScale="90" zoomScaleNormal="90" workbookViewId="0">
      <pane xSplit="3" ySplit="2" topLeftCell="G3" activePane="bottomRight" state="frozen"/>
      <selection pane="topRight" activeCell="C1" sqref="C1"/>
      <selection pane="bottomLeft" activeCell="A1048543" sqref="A1048543"/>
      <selection pane="bottomRight" activeCell="N52" sqref="N52"/>
    </sheetView>
  </sheetViews>
  <sheetFormatPr defaultColWidth="8.85546875" defaultRowHeight="15" x14ac:dyDescent="0.25"/>
  <cols>
    <col min="1" max="2" width="19" style="53" customWidth="1"/>
    <col min="3" max="3" width="23.140625" style="53" customWidth="1"/>
    <col min="4" max="18" width="18.85546875" style="54" customWidth="1"/>
    <col min="19" max="31" width="20.42578125" style="54" customWidth="1"/>
    <col min="32" max="34" width="18.42578125" style="54" customWidth="1"/>
    <col min="35" max="35" width="8.85546875" style="53" customWidth="1"/>
    <col min="36" max="16384" width="8.85546875" style="53"/>
  </cols>
  <sheetData>
    <row r="1" spans="1:34" ht="22.5" customHeight="1" thickBot="1" x14ac:dyDescent="0.3">
      <c r="A1" s="476" t="s">
        <v>555</v>
      </c>
      <c r="B1" s="476"/>
      <c r="C1" s="477"/>
      <c r="D1" s="473" t="s">
        <v>522</v>
      </c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5" t="s">
        <v>523</v>
      </c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60" t="s">
        <v>524</v>
      </c>
      <c r="AG1" s="461"/>
      <c r="AH1" s="461"/>
    </row>
    <row r="2" spans="1:34" s="64" customFormat="1" ht="81.75" customHeight="1" thickBot="1" x14ac:dyDescent="0.3">
      <c r="A2" s="292" t="s">
        <v>527</v>
      </c>
      <c r="B2" s="301" t="s">
        <v>528</v>
      </c>
      <c r="C2" s="302" t="s">
        <v>530</v>
      </c>
      <c r="D2" s="303" t="s">
        <v>531</v>
      </c>
      <c r="E2" s="304" t="s">
        <v>576</v>
      </c>
      <c r="F2" s="294" t="s">
        <v>535</v>
      </c>
      <c r="G2" s="294" t="s">
        <v>536</v>
      </c>
      <c r="H2" s="294" t="s">
        <v>577</v>
      </c>
      <c r="I2" s="91" t="s">
        <v>538</v>
      </c>
      <c r="J2" s="294" t="s">
        <v>539</v>
      </c>
      <c r="K2" s="294" t="s">
        <v>541</v>
      </c>
      <c r="L2" s="293" t="s">
        <v>899</v>
      </c>
      <c r="M2" s="293" t="s">
        <v>900</v>
      </c>
      <c r="N2" s="293" t="s">
        <v>540</v>
      </c>
      <c r="O2" s="293" t="s">
        <v>901</v>
      </c>
      <c r="P2" s="58" t="s">
        <v>544</v>
      </c>
      <c r="Q2" s="58" t="s">
        <v>545</v>
      </c>
      <c r="R2" s="58" t="s">
        <v>546</v>
      </c>
      <c r="S2" s="121" t="s">
        <v>531</v>
      </c>
      <c r="T2" s="136" t="s">
        <v>576</v>
      </c>
      <c r="U2" s="60" t="s">
        <v>535</v>
      </c>
      <c r="V2" s="60" t="s">
        <v>536</v>
      </c>
      <c r="W2" s="60" t="s">
        <v>577</v>
      </c>
      <c r="X2" s="60" t="s">
        <v>540</v>
      </c>
      <c r="Y2" s="60" t="s">
        <v>548</v>
      </c>
      <c r="Z2" s="106" t="s">
        <v>563</v>
      </c>
      <c r="AA2" s="106" t="s">
        <v>543</v>
      </c>
      <c r="AB2" s="106" t="s">
        <v>578</v>
      </c>
      <c r="AC2" s="106" t="s">
        <v>544</v>
      </c>
      <c r="AD2" s="106" t="s">
        <v>545</v>
      </c>
      <c r="AE2" s="106" t="s">
        <v>546</v>
      </c>
      <c r="AF2" s="61" t="s">
        <v>550</v>
      </c>
      <c r="AG2" s="62" t="s">
        <v>551</v>
      </c>
      <c r="AH2" s="63" t="s">
        <v>553</v>
      </c>
    </row>
    <row r="3" spans="1:34" s="64" customFormat="1" x14ac:dyDescent="0.25">
      <c r="A3" s="94" t="e">
        <f>IF(UC_DADOS!$B$2=0,"",UC_DADOS!$B$2)</f>
        <v>#N/A</v>
      </c>
      <c r="B3" s="94"/>
      <c r="C3" s="86"/>
      <c r="D3" s="100"/>
      <c r="E3" s="87"/>
      <c r="F3" s="94"/>
      <c r="G3" s="94">
        <f>(E3*F3)/1000</f>
        <v>0</v>
      </c>
      <c r="H3" s="94">
        <v>1</v>
      </c>
      <c r="I3" s="362">
        <f>(G3*H3)</f>
        <v>0</v>
      </c>
      <c r="J3" s="305"/>
      <c r="K3" s="97"/>
      <c r="L3" s="97"/>
      <c r="M3" s="95">
        <v>21.25</v>
      </c>
      <c r="N3" s="145">
        <f>J3*K3*L3</f>
        <v>0</v>
      </c>
      <c r="O3" s="94"/>
      <c r="P3" s="300">
        <f>N3*O3*M3/765</f>
        <v>0</v>
      </c>
      <c r="Q3" s="161">
        <f>(I3*N3)/1000</f>
        <v>0</v>
      </c>
      <c r="R3" s="161">
        <f>P3*I3</f>
        <v>0</v>
      </c>
      <c r="S3" s="65"/>
      <c r="T3" s="68"/>
      <c r="U3" s="68"/>
      <c r="V3" s="68"/>
      <c r="W3" s="162"/>
      <c r="X3" s="162"/>
      <c r="Y3" s="162"/>
      <c r="Z3" s="162"/>
      <c r="AA3" s="162"/>
      <c r="AB3" s="162"/>
      <c r="AC3" s="162"/>
      <c r="AD3" s="162"/>
      <c r="AE3" s="162"/>
      <c r="AF3" s="183"/>
      <c r="AG3" s="184"/>
      <c r="AH3" s="185"/>
    </row>
    <row r="4" spans="1:34" s="64" customFormat="1" x14ac:dyDescent="0.25">
      <c r="A4" s="94" t="e">
        <f>IF(UC_DADOS!$B$2=0,"",UC_DADOS!$B$2)</f>
        <v>#N/A</v>
      </c>
      <c r="B4" s="94"/>
      <c r="C4" s="86"/>
      <c r="D4" s="100"/>
      <c r="E4" s="306"/>
      <c r="F4" s="94"/>
      <c r="G4" s="94">
        <f t="shared" ref="G4:G45" si="0">(E4*F4)/1000</f>
        <v>0</v>
      </c>
      <c r="H4" s="94">
        <v>1</v>
      </c>
      <c r="I4" s="362">
        <f t="shared" ref="I4:I45" si="1">(G4*H4)</f>
        <v>0</v>
      </c>
      <c r="J4" s="305"/>
      <c r="K4" s="97"/>
      <c r="L4" s="97"/>
      <c r="M4" s="95">
        <v>21.25</v>
      </c>
      <c r="N4" s="145">
        <f t="shared" ref="N4:N52" si="2">J4*K4*L4</f>
        <v>0</v>
      </c>
      <c r="O4" s="94"/>
      <c r="P4" s="300">
        <f t="shared" ref="P4:P45" si="3">N4*O4*M4/765</f>
        <v>0</v>
      </c>
      <c r="Q4" s="161">
        <f t="shared" ref="Q4:Q45" si="4">(I4*N4)/1000</f>
        <v>0</v>
      </c>
      <c r="R4" s="161">
        <f t="shared" ref="R4:R45" si="5">P4*I4</f>
        <v>0</v>
      </c>
      <c r="S4" s="65"/>
      <c r="T4" s="68"/>
      <c r="U4" s="68"/>
      <c r="V4" s="68"/>
      <c r="W4" s="162"/>
      <c r="X4" s="162"/>
      <c r="Y4" s="162"/>
      <c r="Z4" s="162"/>
      <c r="AA4" s="162"/>
      <c r="AB4" s="162"/>
      <c r="AC4" s="162"/>
      <c r="AD4" s="162"/>
      <c r="AE4" s="162"/>
      <c r="AF4" s="183"/>
      <c r="AG4" s="184"/>
      <c r="AH4" s="185"/>
    </row>
    <row r="5" spans="1:34" s="64" customFormat="1" x14ac:dyDescent="0.25">
      <c r="A5" s="94" t="e">
        <f>IF(UC_DADOS!$B$2=0,"",UC_DADOS!$B$2)</f>
        <v>#N/A</v>
      </c>
      <c r="B5" s="94"/>
      <c r="C5" s="86"/>
      <c r="D5" s="100"/>
      <c r="E5" s="306"/>
      <c r="F5" s="94"/>
      <c r="G5" s="94">
        <f t="shared" si="0"/>
        <v>0</v>
      </c>
      <c r="H5" s="94">
        <v>1</v>
      </c>
      <c r="I5" s="362">
        <f t="shared" si="1"/>
        <v>0</v>
      </c>
      <c r="J5" s="305"/>
      <c r="K5" s="97"/>
      <c r="L5" s="97"/>
      <c r="M5" s="95">
        <v>21.25</v>
      </c>
      <c r="N5" s="145">
        <f t="shared" si="2"/>
        <v>0</v>
      </c>
      <c r="O5" s="94"/>
      <c r="P5" s="300">
        <f t="shared" si="3"/>
        <v>0</v>
      </c>
      <c r="Q5" s="161">
        <f t="shared" si="4"/>
        <v>0</v>
      </c>
      <c r="R5" s="161">
        <f t="shared" si="5"/>
        <v>0</v>
      </c>
      <c r="S5" s="65"/>
      <c r="T5" s="68"/>
      <c r="U5" s="68"/>
      <c r="V5" s="68"/>
      <c r="W5" s="162"/>
      <c r="X5" s="162"/>
      <c r="Y5" s="162"/>
      <c r="Z5" s="162"/>
      <c r="AA5" s="162"/>
      <c r="AB5" s="162"/>
      <c r="AC5" s="162"/>
      <c r="AD5" s="162"/>
      <c r="AE5" s="162"/>
      <c r="AF5" s="183"/>
      <c r="AG5" s="184"/>
      <c r="AH5" s="185"/>
    </row>
    <row r="6" spans="1:34" s="64" customFormat="1" x14ac:dyDescent="0.25">
      <c r="A6" s="94" t="e">
        <f>IF(UC_DADOS!$B$2=0,"",UC_DADOS!$B$2)</f>
        <v>#N/A</v>
      </c>
      <c r="B6" s="94"/>
      <c r="C6" s="86"/>
      <c r="D6" s="100"/>
      <c r="E6" s="306"/>
      <c r="F6" s="94"/>
      <c r="G6" s="94">
        <f t="shared" si="0"/>
        <v>0</v>
      </c>
      <c r="H6" s="94">
        <v>1</v>
      </c>
      <c r="I6" s="362">
        <f t="shared" si="1"/>
        <v>0</v>
      </c>
      <c r="J6" s="305"/>
      <c r="K6" s="97"/>
      <c r="L6" s="97"/>
      <c r="M6" s="95">
        <v>21.25</v>
      </c>
      <c r="N6" s="145">
        <f t="shared" si="2"/>
        <v>0</v>
      </c>
      <c r="O6" s="94"/>
      <c r="P6" s="300">
        <f t="shared" si="3"/>
        <v>0</v>
      </c>
      <c r="Q6" s="161">
        <f t="shared" si="4"/>
        <v>0</v>
      </c>
      <c r="R6" s="161">
        <f t="shared" si="5"/>
        <v>0</v>
      </c>
      <c r="S6" s="65"/>
      <c r="T6" s="68"/>
      <c r="U6" s="68"/>
      <c r="V6" s="68"/>
      <c r="W6" s="162"/>
      <c r="X6" s="162"/>
      <c r="Y6" s="162"/>
      <c r="Z6" s="162"/>
      <c r="AA6" s="162"/>
      <c r="AB6" s="162"/>
      <c r="AC6" s="162"/>
      <c r="AD6" s="162"/>
      <c r="AE6" s="162"/>
      <c r="AF6" s="183"/>
      <c r="AG6" s="184"/>
      <c r="AH6" s="185"/>
    </row>
    <row r="7" spans="1:34" s="64" customFormat="1" x14ac:dyDescent="0.25">
      <c r="A7" s="94" t="e">
        <f>IF(UC_DADOS!$B$2=0,"",UC_DADOS!$B$2)</f>
        <v>#N/A</v>
      </c>
      <c r="B7" s="94"/>
      <c r="C7" s="86"/>
      <c r="D7" s="100"/>
      <c r="E7" s="306"/>
      <c r="F7" s="94"/>
      <c r="G7" s="94">
        <f t="shared" si="0"/>
        <v>0</v>
      </c>
      <c r="H7" s="94">
        <v>1</v>
      </c>
      <c r="I7" s="362">
        <f t="shared" si="1"/>
        <v>0</v>
      </c>
      <c r="J7" s="305"/>
      <c r="K7" s="97"/>
      <c r="L7" s="97"/>
      <c r="M7" s="95">
        <v>21.25</v>
      </c>
      <c r="N7" s="145">
        <f t="shared" si="2"/>
        <v>0</v>
      </c>
      <c r="O7" s="94"/>
      <c r="P7" s="300">
        <f t="shared" si="3"/>
        <v>0</v>
      </c>
      <c r="Q7" s="161">
        <f t="shared" si="4"/>
        <v>0</v>
      </c>
      <c r="R7" s="161">
        <f t="shared" si="5"/>
        <v>0</v>
      </c>
      <c r="S7" s="65"/>
      <c r="T7" s="68"/>
      <c r="U7" s="68"/>
      <c r="V7" s="68"/>
      <c r="W7" s="162"/>
      <c r="X7" s="162"/>
      <c r="Y7" s="162"/>
      <c r="Z7" s="162"/>
      <c r="AA7" s="162"/>
      <c r="AB7" s="162"/>
      <c r="AC7" s="162"/>
      <c r="AD7" s="162"/>
      <c r="AE7" s="162"/>
      <c r="AF7" s="183"/>
      <c r="AG7" s="184"/>
      <c r="AH7" s="185"/>
    </row>
    <row r="8" spans="1:34" s="64" customFormat="1" x14ac:dyDescent="0.25">
      <c r="A8" s="94" t="e">
        <f>IF(UC_DADOS!$B$2=0,"",UC_DADOS!$B$2)</f>
        <v>#N/A</v>
      </c>
      <c r="B8" s="94"/>
      <c r="C8" s="86"/>
      <c r="D8" s="100"/>
      <c r="E8" s="306"/>
      <c r="F8" s="94"/>
      <c r="G8" s="94">
        <f t="shared" si="0"/>
        <v>0</v>
      </c>
      <c r="H8" s="94">
        <v>1</v>
      </c>
      <c r="I8" s="362">
        <f t="shared" si="1"/>
        <v>0</v>
      </c>
      <c r="J8" s="305"/>
      <c r="K8" s="97"/>
      <c r="L8" s="97"/>
      <c r="M8" s="95">
        <v>21.25</v>
      </c>
      <c r="N8" s="145">
        <f t="shared" si="2"/>
        <v>0</v>
      </c>
      <c r="O8" s="94"/>
      <c r="P8" s="300">
        <f t="shared" si="3"/>
        <v>0</v>
      </c>
      <c r="Q8" s="161">
        <f t="shared" si="4"/>
        <v>0</v>
      </c>
      <c r="R8" s="161">
        <f t="shared" si="5"/>
        <v>0</v>
      </c>
      <c r="S8" s="65"/>
      <c r="T8" s="68"/>
      <c r="U8" s="68"/>
      <c r="V8" s="68"/>
      <c r="W8" s="162"/>
      <c r="X8" s="162"/>
      <c r="Y8" s="162"/>
      <c r="Z8" s="162"/>
      <c r="AA8" s="162"/>
      <c r="AB8" s="162"/>
      <c r="AC8" s="162"/>
      <c r="AD8" s="162"/>
      <c r="AE8" s="162"/>
      <c r="AF8" s="183"/>
      <c r="AG8" s="184"/>
      <c r="AH8" s="185"/>
    </row>
    <row r="9" spans="1:34" s="64" customFormat="1" x14ac:dyDescent="0.25">
      <c r="A9" s="94" t="e">
        <f>IF(UC_DADOS!$B$2=0,"",UC_DADOS!$B$2)</f>
        <v>#N/A</v>
      </c>
      <c r="B9" s="94"/>
      <c r="C9" s="86"/>
      <c r="D9" s="100"/>
      <c r="E9" s="306"/>
      <c r="F9" s="94"/>
      <c r="G9" s="94">
        <f t="shared" si="0"/>
        <v>0</v>
      </c>
      <c r="H9" s="94">
        <v>1</v>
      </c>
      <c r="I9" s="362">
        <f t="shared" si="1"/>
        <v>0</v>
      </c>
      <c r="J9" s="305"/>
      <c r="K9" s="97"/>
      <c r="L9" s="97"/>
      <c r="M9" s="95">
        <v>21.25</v>
      </c>
      <c r="N9" s="145">
        <f t="shared" si="2"/>
        <v>0</v>
      </c>
      <c r="O9" s="94"/>
      <c r="P9" s="300">
        <f t="shared" si="3"/>
        <v>0</v>
      </c>
      <c r="Q9" s="161">
        <f t="shared" si="4"/>
        <v>0</v>
      </c>
      <c r="R9" s="161">
        <f t="shared" si="5"/>
        <v>0</v>
      </c>
      <c r="S9" s="65"/>
      <c r="T9" s="68"/>
      <c r="U9" s="68"/>
      <c r="V9" s="68"/>
      <c r="W9" s="162"/>
      <c r="X9" s="162"/>
      <c r="Y9" s="162"/>
      <c r="Z9" s="162"/>
      <c r="AA9" s="162"/>
      <c r="AB9" s="162"/>
      <c r="AC9" s="162"/>
      <c r="AD9" s="162"/>
      <c r="AE9" s="162"/>
      <c r="AF9" s="183"/>
      <c r="AG9" s="184"/>
      <c r="AH9" s="185"/>
    </row>
    <row r="10" spans="1:34" s="64" customFormat="1" x14ac:dyDescent="0.25">
      <c r="A10" s="94" t="e">
        <f>IF(UC_DADOS!$B$2=0,"",UC_DADOS!$B$2)</f>
        <v>#N/A</v>
      </c>
      <c r="B10" s="94"/>
      <c r="C10" s="86"/>
      <c r="D10" s="100"/>
      <c r="E10" s="306"/>
      <c r="F10" s="94"/>
      <c r="G10" s="94">
        <f t="shared" si="0"/>
        <v>0</v>
      </c>
      <c r="H10" s="94">
        <v>1</v>
      </c>
      <c r="I10" s="362">
        <f t="shared" si="1"/>
        <v>0</v>
      </c>
      <c r="J10" s="305"/>
      <c r="K10" s="97"/>
      <c r="L10" s="97"/>
      <c r="M10" s="95">
        <v>21.25</v>
      </c>
      <c r="N10" s="145">
        <f t="shared" si="2"/>
        <v>0</v>
      </c>
      <c r="O10" s="94"/>
      <c r="P10" s="300">
        <f t="shared" si="3"/>
        <v>0</v>
      </c>
      <c r="Q10" s="161">
        <f t="shared" si="4"/>
        <v>0</v>
      </c>
      <c r="R10" s="161">
        <f t="shared" si="5"/>
        <v>0</v>
      </c>
      <c r="S10" s="65"/>
      <c r="T10" s="68"/>
      <c r="U10" s="68"/>
      <c r="V10" s="68"/>
      <c r="W10" s="162"/>
      <c r="X10" s="162"/>
      <c r="Y10" s="162"/>
      <c r="Z10" s="162"/>
      <c r="AA10" s="162"/>
      <c r="AB10" s="162"/>
      <c r="AC10" s="162"/>
      <c r="AD10" s="162"/>
      <c r="AE10" s="162"/>
      <c r="AF10" s="183"/>
      <c r="AG10" s="184"/>
      <c r="AH10" s="185"/>
    </row>
    <row r="11" spans="1:34" s="64" customFormat="1" x14ac:dyDescent="0.25">
      <c r="A11" s="94" t="e">
        <f>IF(UC_DADOS!$B$2=0,"",UC_DADOS!$B$2)</f>
        <v>#N/A</v>
      </c>
      <c r="B11" s="94"/>
      <c r="C11" s="86"/>
      <c r="D11" s="100"/>
      <c r="E11" s="306"/>
      <c r="F11" s="94"/>
      <c r="G11" s="94">
        <f t="shared" si="0"/>
        <v>0</v>
      </c>
      <c r="H11" s="94">
        <v>1</v>
      </c>
      <c r="I11" s="362">
        <f t="shared" si="1"/>
        <v>0</v>
      </c>
      <c r="J11" s="305"/>
      <c r="K11" s="97"/>
      <c r="L11" s="97"/>
      <c r="M11" s="95">
        <v>21.25</v>
      </c>
      <c r="N11" s="145">
        <f t="shared" si="2"/>
        <v>0</v>
      </c>
      <c r="O11" s="94"/>
      <c r="P11" s="300">
        <f t="shared" si="3"/>
        <v>0</v>
      </c>
      <c r="Q11" s="161">
        <f t="shared" si="4"/>
        <v>0</v>
      </c>
      <c r="R11" s="161">
        <f t="shared" si="5"/>
        <v>0</v>
      </c>
      <c r="S11" s="65"/>
      <c r="T11" s="68"/>
      <c r="U11" s="68"/>
      <c r="V11" s="68"/>
      <c r="W11" s="162"/>
      <c r="X11" s="162"/>
      <c r="Y11" s="162"/>
      <c r="Z11" s="162"/>
      <c r="AA11" s="162"/>
      <c r="AB11" s="162"/>
      <c r="AC11" s="162"/>
      <c r="AD11" s="162"/>
      <c r="AE11" s="162"/>
      <c r="AF11" s="183"/>
      <c r="AG11" s="184"/>
      <c r="AH11" s="185"/>
    </row>
    <row r="12" spans="1:34" s="64" customFormat="1" x14ac:dyDescent="0.25">
      <c r="A12" s="94" t="e">
        <f>IF(UC_DADOS!$B$2=0,"",UC_DADOS!$B$2)</f>
        <v>#N/A</v>
      </c>
      <c r="B12" s="94"/>
      <c r="C12" s="86"/>
      <c r="D12" s="100"/>
      <c r="E12" s="306"/>
      <c r="F12" s="94"/>
      <c r="G12" s="94">
        <f t="shared" si="0"/>
        <v>0</v>
      </c>
      <c r="H12" s="94">
        <v>1</v>
      </c>
      <c r="I12" s="362">
        <f t="shared" si="1"/>
        <v>0</v>
      </c>
      <c r="J12" s="305"/>
      <c r="K12" s="97"/>
      <c r="L12" s="97"/>
      <c r="M12" s="95">
        <v>21.25</v>
      </c>
      <c r="N12" s="145">
        <f t="shared" si="2"/>
        <v>0</v>
      </c>
      <c r="O12" s="94"/>
      <c r="P12" s="300">
        <f t="shared" si="3"/>
        <v>0</v>
      </c>
      <c r="Q12" s="161">
        <f t="shared" si="4"/>
        <v>0</v>
      </c>
      <c r="R12" s="161">
        <f t="shared" si="5"/>
        <v>0</v>
      </c>
      <c r="S12" s="65"/>
      <c r="T12" s="68"/>
      <c r="U12" s="68"/>
      <c r="V12" s="68"/>
      <c r="W12" s="162"/>
      <c r="X12" s="162"/>
      <c r="Y12" s="162"/>
      <c r="Z12" s="162"/>
      <c r="AA12" s="162"/>
      <c r="AB12" s="162"/>
      <c r="AC12" s="162"/>
      <c r="AD12" s="162"/>
      <c r="AE12" s="162"/>
      <c r="AF12" s="183"/>
      <c r="AG12" s="184"/>
      <c r="AH12" s="185"/>
    </row>
    <row r="13" spans="1:34" s="64" customFormat="1" x14ac:dyDescent="0.25">
      <c r="A13" s="94" t="e">
        <f>IF(UC_DADOS!$B$2=0,"",UC_DADOS!$B$2)</f>
        <v>#N/A</v>
      </c>
      <c r="B13" s="94"/>
      <c r="C13" s="86"/>
      <c r="D13" s="100"/>
      <c r="E13" s="306"/>
      <c r="F13" s="94"/>
      <c r="G13" s="94">
        <f t="shared" si="0"/>
        <v>0</v>
      </c>
      <c r="H13" s="94">
        <v>1</v>
      </c>
      <c r="I13" s="362">
        <f t="shared" si="1"/>
        <v>0</v>
      </c>
      <c r="J13" s="305"/>
      <c r="K13" s="97"/>
      <c r="L13" s="97"/>
      <c r="M13" s="95">
        <v>21.25</v>
      </c>
      <c r="N13" s="145">
        <f t="shared" si="2"/>
        <v>0</v>
      </c>
      <c r="O13" s="94"/>
      <c r="P13" s="300">
        <f t="shared" si="3"/>
        <v>0</v>
      </c>
      <c r="Q13" s="161">
        <f t="shared" si="4"/>
        <v>0</v>
      </c>
      <c r="R13" s="161">
        <f t="shared" si="5"/>
        <v>0</v>
      </c>
      <c r="S13" s="65"/>
      <c r="T13" s="68"/>
      <c r="U13" s="68"/>
      <c r="V13" s="68"/>
      <c r="W13" s="162"/>
      <c r="X13" s="162"/>
      <c r="Y13" s="162"/>
      <c r="Z13" s="162"/>
      <c r="AA13" s="162"/>
      <c r="AB13" s="162"/>
      <c r="AC13" s="162"/>
      <c r="AD13" s="162"/>
      <c r="AE13" s="162"/>
      <c r="AF13" s="183"/>
      <c r="AG13" s="184"/>
      <c r="AH13" s="185"/>
    </row>
    <row r="14" spans="1:34" s="64" customFormat="1" x14ac:dyDescent="0.25">
      <c r="A14" s="94" t="e">
        <f>IF(UC_DADOS!$B$2=0,"",UC_DADOS!$B$2)</f>
        <v>#N/A</v>
      </c>
      <c r="B14" s="94"/>
      <c r="C14" s="86"/>
      <c r="D14" s="100"/>
      <c r="E14" s="306"/>
      <c r="F14" s="94"/>
      <c r="G14" s="94">
        <f t="shared" si="0"/>
        <v>0</v>
      </c>
      <c r="H14" s="94">
        <v>1</v>
      </c>
      <c r="I14" s="362">
        <f t="shared" si="1"/>
        <v>0</v>
      </c>
      <c r="J14" s="305"/>
      <c r="K14" s="97"/>
      <c r="L14" s="97"/>
      <c r="M14" s="95">
        <v>21.25</v>
      </c>
      <c r="N14" s="145">
        <f t="shared" si="2"/>
        <v>0</v>
      </c>
      <c r="O14" s="94"/>
      <c r="P14" s="300">
        <f t="shared" si="3"/>
        <v>0</v>
      </c>
      <c r="Q14" s="161">
        <f t="shared" si="4"/>
        <v>0</v>
      </c>
      <c r="R14" s="161">
        <f t="shared" si="5"/>
        <v>0</v>
      </c>
      <c r="S14" s="65"/>
      <c r="T14" s="68"/>
      <c r="U14" s="68"/>
      <c r="V14" s="68"/>
      <c r="W14" s="162"/>
      <c r="X14" s="162"/>
      <c r="Y14" s="162"/>
      <c r="Z14" s="162"/>
      <c r="AA14" s="162"/>
      <c r="AB14" s="162"/>
      <c r="AC14" s="162"/>
      <c r="AD14" s="162"/>
      <c r="AE14" s="162"/>
      <c r="AF14" s="183"/>
      <c r="AG14" s="184"/>
      <c r="AH14" s="185"/>
    </row>
    <row r="15" spans="1:34" s="64" customFormat="1" x14ac:dyDescent="0.25">
      <c r="A15" s="94" t="e">
        <f>IF(UC_DADOS!$B$2=0,"",UC_DADOS!$B$2)</f>
        <v>#N/A</v>
      </c>
      <c r="B15" s="94"/>
      <c r="C15" s="86"/>
      <c r="D15" s="100"/>
      <c r="E15" s="306"/>
      <c r="F15" s="94"/>
      <c r="G15" s="94">
        <f t="shared" si="0"/>
        <v>0</v>
      </c>
      <c r="H15" s="94">
        <v>1</v>
      </c>
      <c r="I15" s="362">
        <f t="shared" si="1"/>
        <v>0</v>
      </c>
      <c r="J15" s="305"/>
      <c r="K15" s="97"/>
      <c r="L15" s="97"/>
      <c r="M15" s="95">
        <v>21.25</v>
      </c>
      <c r="N15" s="145">
        <f t="shared" si="2"/>
        <v>0</v>
      </c>
      <c r="O15" s="94"/>
      <c r="P15" s="300">
        <f t="shared" si="3"/>
        <v>0</v>
      </c>
      <c r="Q15" s="161">
        <f t="shared" si="4"/>
        <v>0</v>
      </c>
      <c r="R15" s="161">
        <f t="shared" si="5"/>
        <v>0</v>
      </c>
      <c r="S15" s="65"/>
      <c r="T15" s="68"/>
      <c r="U15" s="68"/>
      <c r="V15" s="68"/>
      <c r="W15" s="162"/>
      <c r="X15" s="162"/>
      <c r="Y15" s="162"/>
      <c r="Z15" s="162"/>
      <c r="AA15" s="162"/>
      <c r="AB15" s="162"/>
      <c r="AC15" s="162"/>
      <c r="AD15" s="162"/>
      <c r="AE15" s="162"/>
      <c r="AF15" s="183"/>
      <c r="AG15" s="184"/>
      <c r="AH15" s="185"/>
    </row>
    <row r="16" spans="1:34" s="64" customFormat="1" x14ac:dyDescent="0.25">
      <c r="A16" s="94" t="e">
        <f>IF(UC_DADOS!$B$2=0,"",UC_DADOS!$B$2)</f>
        <v>#N/A</v>
      </c>
      <c r="B16" s="94"/>
      <c r="C16" s="86"/>
      <c r="D16" s="100"/>
      <c r="E16" s="306"/>
      <c r="F16" s="94"/>
      <c r="G16" s="94">
        <f t="shared" si="0"/>
        <v>0</v>
      </c>
      <c r="H16" s="94">
        <v>1</v>
      </c>
      <c r="I16" s="362">
        <f t="shared" si="1"/>
        <v>0</v>
      </c>
      <c r="J16" s="305"/>
      <c r="K16" s="97"/>
      <c r="L16" s="97"/>
      <c r="M16" s="95">
        <v>21.25</v>
      </c>
      <c r="N16" s="145">
        <f t="shared" si="2"/>
        <v>0</v>
      </c>
      <c r="O16" s="94"/>
      <c r="P16" s="300">
        <f t="shared" si="3"/>
        <v>0</v>
      </c>
      <c r="Q16" s="161">
        <f t="shared" si="4"/>
        <v>0</v>
      </c>
      <c r="R16" s="161">
        <f t="shared" si="5"/>
        <v>0</v>
      </c>
      <c r="S16" s="65"/>
      <c r="T16" s="68"/>
      <c r="U16" s="68"/>
      <c r="V16" s="68"/>
      <c r="W16" s="162"/>
      <c r="X16" s="162"/>
      <c r="Y16" s="162"/>
      <c r="Z16" s="162"/>
      <c r="AA16" s="162"/>
      <c r="AB16" s="162"/>
      <c r="AC16" s="162"/>
      <c r="AD16" s="162"/>
      <c r="AE16" s="162"/>
      <c r="AF16" s="183"/>
      <c r="AG16" s="184"/>
      <c r="AH16" s="185"/>
    </row>
    <row r="17" spans="1:34" s="64" customFormat="1" x14ac:dyDescent="0.25">
      <c r="A17" s="94" t="e">
        <f>IF(UC_DADOS!$B$2=0,"",UC_DADOS!$B$2)</f>
        <v>#N/A</v>
      </c>
      <c r="B17" s="94"/>
      <c r="C17" s="86"/>
      <c r="D17" s="100"/>
      <c r="E17" s="306"/>
      <c r="F17" s="94"/>
      <c r="G17" s="94">
        <f t="shared" si="0"/>
        <v>0</v>
      </c>
      <c r="H17" s="94">
        <v>1</v>
      </c>
      <c r="I17" s="362">
        <f t="shared" si="1"/>
        <v>0</v>
      </c>
      <c r="J17" s="305"/>
      <c r="K17" s="97"/>
      <c r="L17" s="97"/>
      <c r="M17" s="95">
        <v>21.25</v>
      </c>
      <c r="N17" s="145">
        <f t="shared" si="2"/>
        <v>0</v>
      </c>
      <c r="O17" s="94"/>
      <c r="P17" s="300">
        <f t="shared" si="3"/>
        <v>0</v>
      </c>
      <c r="Q17" s="161">
        <f t="shared" si="4"/>
        <v>0</v>
      </c>
      <c r="R17" s="161">
        <f t="shared" si="5"/>
        <v>0</v>
      </c>
      <c r="S17" s="65"/>
      <c r="T17" s="68"/>
      <c r="U17" s="68"/>
      <c r="V17" s="68"/>
      <c r="W17" s="162"/>
      <c r="X17" s="162"/>
      <c r="Y17" s="162"/>
      <c r="Z17" s="162"/>
      <c r="AA17" s="162"/>
      <c r="AB17" s="162"/>
      <c r="AC17" s="162"/>
      <c r="AD17" s="162"/>
      <c r="AE17" s="162"/>
      <c r="AF17" s="183"/>
      <c r="AG17" s="184"/>
      <c r="AH17" s="185"/>
    </row>
    <row r="18" spans="1:34" s="64" customFormat="1" x14ac:dyDescent="0.25">
      <c r="A18" s="94" t="e">
        <f>IF(UC_DADOS!$B$2=0,"",UC_DADOS!$B$2)</f>
        <v>#N/A</v>
      </c>
      <c r="B18" s="94"/>
      <c r="C18" s="86"/>
      <c r="D18" s="100"/>
      <c r="E18" s="306"/>
      <c r="F18" s="94"/>
      <c r="G18" s="94">
        <f t="shared" si="0"/>
        <v>0</v>
      </c>
      <c r="H18" s="94">
        <v>1</v>
      </c>
      <c r="I18" s="362">
        <f t="shared" si="1"/>
        <v>0</v>
      </c>
      <c r="J18" s="305"/>
      <c r="K18" s="97"/>
      <c r="L18" s="97"/>
      <c r="M18" s="95">
        <v>21.25</v>
      </c>
      <c r="N18" s="145">
        <f t="shared" si="2"/>
        <v>0</v>
      </c>
      <c r="O18" s="94"/>
      <c r="P18" s="300">
        <f t="shared" si="3"/>
        <v>0</v>
      </c>
      <c r="Q18" s="161">
        <f t="shared" si="4"/>
        <v>0</v>
      </c>
      <c r="R18" s="161">
        <f t="shared" si="5"/>
        <v>0</v>
      </c>
      <c r="S18" s="65"/>
      <c r="T18" s="68"/>
      <c r="U18" s="68"/>
      <c r="V18" s="68"/>
      <c r="W18" s="162"/>
      <c r="X18" s="162"/>
      <c r="Y18" s="162"/>
      <c r="Z18" s="162"/>
      <c r="AA18" s="162"/>
      <c r="AB18" s="162"/>
      <c r="AC18" s="162"/>
      <c r="AD18" s="162"/>
      <c r="AE18" s="162"/>
      <c r="AF18" s="183"/>
      <c r="AG18" s="184"/>
      <c r="AH18" s="185"/>
    </row>
    <row r="19" spans="1:34" s="64" customFormat="1" x14ac:dyDescent="0.25">
      <c r="A19" s="94" t="e">
        <f>IF(UC_DADOS!$B$2=0,"",UC_DADOS!$B$2)</f>
        <v>#N/A</v>
      </c>
      <c r="B19" s="94"/>
      <c r="C19" s="86"/>
      <c r="D19" s="100"/>
      <c r="E19" s="306"/>
      <c r="F19" s="94"/>
      <c r="G19" s="94">
        <f t="shared" si="0"/>
        <v>0</v>
      </c>
      <c r="H19" s="94">
        <v>1</v>
      </c>
      <c r="I19" s="362">
        <f t="shared" si="1"/>
        <v>0</v>
      </c>
      <c r="J19" s="305"/>
      <c r="K19" s="97"/>
      <c r="L19" s="97"/>
      <c r="M19" s="95">
        <v>21.25</v>
      </c>
      <c r="N19" s="145">
        <f t="shared" si="2"/>
        <v>0</v>
      </c>
      <c r="O19" s="94"/>
      <c r="P19" s="300">
        <f t="shared" si="3"/>
        <v>0</v>
      </c>
      <c r="Q19" s="161">
        <f t="shared" si="4"/>
        <v>0</v>
      </c>
      <c r="R19" s="161">
        <f t="shared" si="5"/>
        <v>0</v>
      </c>
      <c r="S19" s="65"/>
      <c r="T19" s="68"/>
      <c r="U19" s="68"/>
      <c r="V19" s="68"/>
      <c r="W19" s="162"/>
      <c r="X19" s="162"/>
      <c r="Y19" s="162"/>
      <c r="Z19" s="162"/>
      <c r="AA19" s="162"/>
      <c r="AB19" s="162"/>
      <c r="AC19" s="162"/>
      <c r="AD19" s="162"/>
      <c r="AE19" s="162"/>
      <c r="AF19" s="183"/>
      <c r="AG19" s="184"/>
      <c r="AH19" s="185"/>
    </row>
    <row r="20" spans="1:34" s="64" customFormat="1" x14ac:dyDescent="0.25">
      <c r="A20" s="94" t="e">
        <f>IF(UC_DADOS!$B$2=0,"",UC_DADOS!$B$2)</f>
        <v>#N/A</v>
      </c>
      <c r="B20" s="94"/>
      <c r="C20" s="86"/>
      <c r="D20" s="100"/>
      <c r="E20" s="306"/>
      <c r="F20" s="94"/>
      <c r="G20" s="94">
        <f t="shared" si="0"/>
        <v>0</v>
      </c>
      <c r="H20" s="94">
        <v>1</v>
      </c>
      <c r="I20" s="362">
        <f t="shared" si="1"/>
        <v>0</v>
      </c>
      <c r="J20" s="305"/>
      <c r="K20" s="97"/>
      <c r="L20" s="97"/>
      <c r="M20" s="95">
        <v>21.25</v>
      </c>
      <c r="N20" s="145">
        <f t="shared" si="2"/>
        <v>0</v>
      </c>
      <c r="O20" s="94"/>
      <c r="P20" s="300">
        <f t="shared" si="3"/>
        <v>0</v>
      </c>
      <c r="Q20" s="161">
        <f t="shared" si="4"/>
        <v>0</v>
      </c>
      <c r="R20" s="161">
        <f t="shared" si="5"/>
        <v>0</v>
      </c>
      <c r="S20" s="65"/>
      <c r="T20" s="68"/>
      <c r="U20" s="68"/>
      <c r="V20" s="68"/>
      <c r="W20" s="162"/>
      <c r="X20" s="162"/>
      <c r="Y20" s="162"/>
      <c r="Z20" s="162"/>
      <c r="AA20" s="162"/>
      <c r="AB20" s="162"/>
      <c r="AC20" s="162"/>
      <c r="AD20" s="162"/>
      <c r="AE20" s="162"/>
      <c r="AF20" s="183"/>
      <c r="AG20" s="184"/>
      <c r="AH20" s="185"/>
    </row>
    <row r="21" spans="1:34" s="64" customFormat="1" x14ac:dyDescent="0.25">
      <c r="A21" s="94" t="e">
        <f>IF(UC_DADOS!$B$2=0,"",UC_DADOS!$B$2)</f>
        <v>#N/A</v>
      </c>
      <c r="B21" s="94"/>
      <c r="C21" s="86"/>
      <c r="D21" s="100"/>
      <c r="E21" s="306"/>
      <c r="F21" s="94"/>
      <c r="G21" s="94">
        <f t="shared" si="0"/>
        <v>0</v>
      </c>
      <c r="H21" s="94">
        <v>1</v>
      </c>
      <c r="I21" s="362">
        <f t="shared" si="1"/>
        <v>0</v>
      </c>
      <c r="J21" s="305"/>
      <c r="K21" s="97"/>
      <c r="L21" s="97"/>
      <c r="M21" s="95">
        <v>21.25</v>
      </c>
      <c r="N21" s="145">
        <f t="shared" si="2"/>
        <v>0</v>
      </c>
      <c r="O21" s="94"/>
      <c r="P21" s="300">
        <f t="shared" si="3"/>
        <v>0</v>
      </c>
      <c r="Q21" s="161">
        <f t="shared" si="4"/>
        <v>0</v>
      </c>
      <c r="R21" s="161">
        <f t="shared" si="5"/>
        <v>0</v>
      </c>
      <c r="S21" s="65"/>
      <c r="T21" s="68"/>
      <c r="U21" s="68"/>
      <c r="V21" s="68"/>
      <c r="W21" s="162"/>
      <c r="X21" s="162"/>
      <c r="Y21" s="162"/>
      <c r="Z21" s="162"/>
      <c r="AA21" s="162"/>
      <c r="AB21" s="162"/>
      <c r="AC21" s="162"/>
      <c r="AD21" s="162"/>
      <c r="AE21" s="162"/>
      <c r="AF21" s="183"/>
      <c r="AG21" s="184"/>
      <c r="AH21" s="185"/>
    </row>
    <row r="22" spans="1:34" s="64" customFormat="1" x14ac:dyDescent="0.25">
      <c r="A22" s="94" t="e">
        <f>IF(UC_DADOS!$B$2=0,"",UC_DADOS!$B$2)</f>
        <v>#N/A</v>
      </c>
      <c r="B22" s="94"/>
      <c r="C22" s="86"/>
      <c r="D22" s="100"/>
      <c r="E22" s="306"/>
      <c r="F22" s="94"/>
      <c r="G22" s="94">
        <f t="shared" si="0"/>
        <v>0</v>
      </c>
      <c r="H22" s="94">
        <v>1</v>
      </c>
      <c r="I22" s="362">
        <f t="shared" si="1"/>
        <v>0</v>
      </c>
      <c r="J22" s="305"/>
      <c r="K22" s="97"/>
      <c r="L22" s="97"/>
      <c r="M22" s="95">
        <v>21.25</v>
      </c>
      <c r="N22" s="145">
        <f t="shared" si="2"/>
        <v>0</v>
      </c>
      <c r="O22" s="94"/>
      <c r="P22" s="300">
        <f t="shared" si="3"/>
        <v>0</v>
      </c>
      <c r="Q22" s="161">
        <f t="shared" si="4"/>
        <v>0</v>
      </c>
      <c r="R22" s="161">
        <f t="shared" si="5"/>
        <v>0</v>
      </c>
      <c r="S22" s="65"/>
      <c r="T22" s="68"/>
      <c r="U22" s="68"/>
      <c r="V22" s="68"/>
      <c r="W22" s="162"/>
      <c r="X22" s="162"/>
      <c r="Y22" s="162"/>
      <c r="Z22" s="162"/>
      <c r="AA22" s="162"/>
      <c r="AB22" s="162"/>
      <c r="AC22" s="162"/>
      <c r="AD22" s="162"/>
      <c r="AE22" s="162"/>
      <c r="AF22" s="183"/>
      <c r="AG22" s="184"/>
      <c r="AH22" s="185"/>
    </row>
    <row r="23" spans="1:34" s="64" customFormat="1" x14ac:dyDescent="0.25">
      <c r="A23" s="94" t="e">
        <f>IF(UC_DADOS!$B$2=0,"",UC_DADOS!$B$2)</f>
        <v>#N/A</v>
      </c>
      <c r="B23" s="94"/>
      <c r="C23" s="86"/>
      <c r="D23" s="100"/>
      <c r="E23" s="306"/>
      <c r="F23" s="94"/>
      <c r="G23" s="94">
        <f t="shared" si="0"/>
        <v>0</v>
      </c>
      <c r="H23" s="94">
        <v>1</v>
      </c>
      <c r="I23" s="362">
        <f t="shared" si="1"/>
        <v>0</v>
      </c>
      <c r="J23" s="305"/>
      <c r="K23" s="97"/>
      <c r="L23" s="97"/>
      <c r="M23" s="95">
        <v>21.25</v>
      </c>
      <c r="N23" s="145">
        <f t="shared" si="2"/>
        <v>0</v>
      </c>
      <c r="O23" s="94"/>
      <c r="P23" s="300">
        <f t="shared" si="3"/>
        <v>0</v>
      </c>
      <c r="Q23" s="161">
        <f t="shared" si="4"/>
        <v>0</v>
      </c>
      <c r="R23" s="161">
        <f t="shared" si="5"/>
        <v>0</v>
      </c>
      <c r="S23" s="65"/>
      <c r="T23" s="68"/>
      <c r="U23" s="68"/>
      <c r="V23" s="68"/>
      <c r="W23" s="162"/>
      <c r="X23" s="162"/>
      <c r="Y23" s="162"/>
      <c r="Z23" s="162"/>
      <c r="AA23" s="162"/>
      <c r="AB23" s="162"/>
      <c r="AC23" s="162"/>
      <c r="AD23" s="162"/>
      <c r="AE23" s="162"/>
      <c r="AF23" s="183"/>
      <c r="AG23" s="184"/>
      <c r="AH23" s="185"/>
    </row>
    <row r="24" spans="1:34" s="64" customFormat="1" x14ac:dyDescent="0.25">
      <c r="A24" s="94" t="e">
        <f>IF(UC_DADOS!$B$2=0,"",UC_DADOS!$B$2)</f>
        <v>#N/A</v>
      </c>
      <c r="B24" s="94"/>
      <c r="C24" s="86"/>
      <c r="D24" s="100"/>
      <c r="E24" s="306"/>
      <c r="F24" s="94"/>
      <c r="G24" s="94">
        <f t="shared" si="0"/>
        <v>0</v>
      </c>
      <c r="H24" s="94">
        <v>1</v>
      </c>
      <c r="I24" s="362">
        <f t="shared" si="1"/>
        <v>0</v>
      </c>
      <c r="J24" s="305"/>
      <c r="K24" s="97"/>
      <c r="L24" s="97"/>
      <c r="M24" s="95">
        <v>21.25</v>
      </c>
      <c r="N24" s="145">
        <f t="shared" si="2"/>
        <v>0</v>
      </c>
      <c r="O24" s="94"/>
      <c r="P24" s="300">
        <f t="shared" si="3"/>
        <v>0</v>
      </c>
      <c r="Q24" s="161">
        <f t="shared" si="4"/>
        <v>0</v>
      </c>
      <c r="R24" s="161">
        <f t="shared" si="5"/>
        <v>0</v>
      </c>
      <c r="S24" s="65"/>
      <c r="T24" s="68"/>
      <c r="U24" s="68"/>
      <c r="V24" s="68"/>
      <c r="W24" s="162"/>
      <c r="X24" s="162"/>
      <c r="Y24" s="162"/>
      <c r="Z24" s="162"/>
      <c r="AA24" s="162"/>
      <c r="AB24" s="162"/>
      <c r="AC24" s="162"/>
      <c r="AD24" s="162"/>
      <c r="AE24" s="162"/>
      <c r="AF24" s="183"/>
      <c r="AG24" s="184"/>
      <c r="AH24" s="185"/>
    </row>
    <row r="25" spans="1:34" s="64" customFormat="1" x14ac:dyDescent="0.25">
      <c r="A25" s="94" t="e">
        <f>IF(UC_DADOS!$B$2=0,"",UC_DADOS!$B$2)</f>
        <v>#N/A</v>
      </c>
      <c r="B25" s="94"/>
      <c r="C25" s="86"/>
      <c r="D25" s="100"/>
      <c r="E25" s="306"/>
      <c r="F25" s="94"/>
      <c r="G25" s="94">
        <f t="shared" si="0"/>
        <v>0</v>
      </c>
      <c r="H25" s="94">
        <v>1</v>
      </c>
      <c r="I25" s="362">
        <f t="shared" si="1"/>
        <v>0</v>
      </c>
      <c r="J25" s="305"/>
      <c r="K25" s="97"/>
      <c r="L25" s="97"/>
      <c r="M25" s="95">
        <v>21.25</v>
      </c>
      <c r="N25" s="145">
        <f t="shared" si="2"/>
        <v>0</v>
      </c>
      <c r="O25" s="94"/>
      <c r="P25" s="300">
        <f t="shared" si="3"/>
        <v>0</v>
      </c>
      <c r="Q25" s="161">
        <f t="shared" si="4"/>
        <v>0</v>
      </c>
      <c r="R25" s="161">
        <f t="shared" si="5"/>
        <v>0</v>
      </c>
      <c r="S25" s="65"/>
      <c r="T25" s="68"/>
      <c r="U25" s="68"/>
      <c r="V25" s="68"/>
      <c r="W25" s="162"/>
      <c r="X25" s="162"/>
      <c r="Y25" s="162"/>
      <c r="Z25" s="162"/>
      <c r="AA25" s="162"/>
      <c r="AB25" s="162"/>
      <c r="AC25" s="162"/>
      <c r="AD25" s="162"/>
      <c r="AE25" s="162"/>
      <c r="AF25" s="183"/>
      <c r="AG25" s="184"/>
      <c r="AH25" s="185"/>
    </row>
    <row r="26" spans="1:34" s="64" customFormat="1" x14ac:dyDescent="0.25">
      <c r="A26" s="94" t="e">
        <f>IF(UC_DADOS!$B$2=0,"",UC_DADOS!$B$2)</f>
        <v>#N/A</v>
      </c>
      <c r="B26" s="94"/>
      <c r="C26" s="86"/>
      <c r="D26" s="100"/>
      <c r="E26" s="306"/>
      <c r="F26" s="94"/>
      <c r="G26" s="94">
        <f t="shared" si="0"/>
        <v>0</v>
      </c>
      <c r="H26" s="94">
        <v>1</v>
      </c>
      <c r="I26" s="362">
        <f t="shared" si="1"/>
        <v>0</v>
      </c>
      <c r="J26" s="305"/>
      <c r="K26" s="97"/>
      <c r="L26" s="97"/>
      <c r="M26" s="95">
        <v>21.25</v>
      </c>
      <c r="N26" s="145">
        <f t="shared" si="2"/>
        <v>0</v>
      </c>
      <c r="O26" s="94"/>
      <c r="P26" s="300">
        <f t="shared" si="3"/>
        <v>0</v>
      </c>
      <c r="Q26" s="161">
        <f t="shared" si="4"/>
        <v>0</v>
      </c>
      <c r="R26" s="161">
        <f t="shared" si="5"/>
        <v>0</v>
      </c>
      <c r="S26" s="65"/>
      <c r="T26" s="68"/>
      <c r="U26" s="68"/>
      <c r="V26" s="68"/>
      <c r="W26" s="162"/>
      <c r="X26" s="162"/>
      <c r="Y26" s="162"/>
      <c r="Z26" s="162"/>
      <c r="AA26" s="162"/>
      <c r="AB26" s="162"/>
      <c r="AC26" s="162"/>
      <c r="AD26" s="162"/>
      <c r="AE26" s="162"/>
      <c r="AF26" s="183"/>
      <c r="AG26" s="184"/>
      <c r="AH26" s="185"/>
    </row>
    <row r="27" spans="1:34" s="64" customFormat="1" x14ac:dyDescent="0.25">
      <c r="A27" s="94" t="e">
        <f>IF(UC_DADOS!$B$2=0,"",UC_DADOS!$B$2)</f>
        <v>#N/A</v>
      </c>
      <c r="B27" s="94"/>
      <c r="C27" s="86"/>
      <c r="D27" s="100"/>
      <c r="E27" s="306"/>
      <c r="F27" s="94"/>
      <c r="G27" s="94">
        <f t="shared" si="0"/>
        <v>0</v>
      </c>
      <c r="H27" s="94">
        <v>1</v>
      </c>
      <c r="I27" s="362">
        <f t="shared" si="1"/>
        <v>0</v>
      </c>
      <c r="J27" s="305"/>
      <c r="K27" s="97"/>
      <c r="L27" s="97"/>
      <c r="M27" s="95">
        <v>21.25</v>
      </c>
      <c r="N27" s="145">
        <f t="shared" si="2"/>
        <v>0</v>
      </c>
      <c r="O27" s="94"/>
      <c r="P27" s="300">
        <f t="shared" si="3"/>
        <v>0</v>
      </c>
      <c r="Q27" s="161">
        <f t="shared" si="4"/>
        <v>0</v>
      </c>
      <c r="R27" s="161">
        <f t="shared" si="5"/>
        <v>0</v>
      </c>
      <c r="S27" s="65"/>
      <c r="T27" s="68"/>
      <c r="U27" s="68"/>
      <c r="V27" s="68"/>
      <c r="W27" s="162"/>
      <c r="X27" s="162"/>
      <c r="Y27" s="162"/>
      <c r="Z27" s="162"/>
      <c r="AA27" s="162"/>
      <c r="AB27" s="162"/>
      <c r="AC27" s="162"/>
      <c r="AD27" s="162"/>
      <c r="AE27" s="162"/>
      <c r="AF27" s="183"/>
      <c r="AG27" s="184"/>
      <c r="AH27" s="185"/>
    </row>
    <row r="28" spans="1:34" s="64" customFormat="1" x14ac:dyDescent="0.25">
      <c r="A28" s="94" t="e">
        <f>IF(UC_DADOS!$B$2=0,"",UC_DADOS!$B$2)</f>
        <v>#N/A</v>
      </c>
      <c r="B28" s="94"/>
      <c r="C28" s="86"/>
      <c r="D28" s="100"/>
      <c r="E28" s="306"/>
      <c r="F28" s="94"/>
      <c r="G28" s="94">
        <f t="shared" si="0"/>
        <v>0</v>
      </c>
      <c r="H28" s="94">
        <v>1</v>
      </c>
      <c r="I28" s="362">
        <f t="shared" si="1"/>
        <v>0</v>
      </c>
      <c r="J28" s="305"/>
      <c r="K28" s="97"/>
      <c r="L28" s="97"/>
      <c r="M28" s="95">
        <v>21.25</v>
      </c>
      <c r="N28" s="145">
        <f t="shared" si="2"/>
        <v>0</v>
      </c>
      <c r="O28" s="94"/>
      <c r="P28" s="300">
        <f t="shared" si="3"/>
        <v>0</v>
      </c>
      <c r="Q28" s="161">
        <f t="shared" si="4"/>
        <v>0</v>
      </c>
      <c r="R28" s="161">
        <f t="shared" si="5"/>
        <v>0</v>
      </c>
      <c r="S28" s="65"/>
      <c r="T28" s="68"/>
      <c r="U28" s="68"/>
      <c r="V28" s="68"/>
      <c r="W28" s="162"/>
      <c r="X28" s="162"/>
      <c r="Y28" s="162"/>
      <c r="Z28" s="162"/>
      <c r="AA28" s="162"/>
      <c r="AB28" s="162"/>
      <c r="AC28" s="162"/>
      <c r="AD28" s="162"/>
      <c r="AE28" s="162"/>
      <c r="AF28" s="183"/>
      <c r="AG28" s="184"/>
      <c r="AH28" s="185"/>
    </row>
    <row r="29" spans="1:34" s="64" customFormat="1" x14ac:dyDescent="0.25">
      <c r="A29" s="94" t="e">
        <f>IF(UC_DADOS!$B$2=0,"",UC_DADOS!$B$2)</f>
        <v>#N/A</v>
      </c>
      <c r="B29" s="94"/>
      <c r="C29" s="86"/>
      <c r="D29" s="100"/>
      <c r="E29" s="306"/>
      <c r="F29" s="94"/>
      <c r="G29" s="94">
        <f t="shared" si="0"/>
        <v>0</v>
      </c>
      <c r="H29" s="94">
        <v>1</v>
      </c>
      <c r="I29" s="362">
        <f t="shared" si="1"/>
        <v>0</v>
      </c>
      <c r="J29" s="305"/>
      <c r="K29" s="97"/>
      <c r="L29" s="97"/>
      <c r="M29" s="95">
        <v>21.25</v>
      </c>
      <c r="N29" s="145">
        <f t="shared" si="2"/>
        <v>0</v>
      </c>
      <c r="O29" s="94"/>
      <c r="P29" s="300">
        <f t="shared" si="3"/>
        <v>0</v>
      </c>
      <c r="Q29" s="161">
        <f t="shared" si="4"/>
        <v>0</v>
      </c>
      <c r="R29" s="161">
        <f t="shared" si="5"/>
        <v>0</v>
      </c>
      <c r="S29" s="65"/>
      <c r="T29" s="68"/>
      <c r="U29" s="68"/>
      <c r="V29" s="68"/>
      <c r="W29" s="162"/>
      <c r="X29" s="162"/>
      <c r="Y29" s="162"/>
      <c r="Z29" s="162"/>
      <c r="AA29" s="162"/>
      <c r="AB29" s="162"/>
      <c r="AC29" s="162"/>
      <c r="AD29" s="162"/>
      <c r="AE29" s="162"/>
      <c r="AF29" s="183"/>
      <c r="AG29" s="184"/>
      <c r="AH29" s="185"/>
    </row>
    <row r="30" spans="1:34" s="64" customFormat="1" x14ac:dyDescent="0.25">
      <c r="A30" s="94" t="e">
        <f>IF(UC_DADOS!$B$2=0,"",UC_DADOS!$B$2)</f>
        <v>#N/A</v>
      </c>
      <c r="B30" s="94"/>
      <c r="C30" s="86"/>
      <c r="D30" s="100"/>
      <c r="E30" s="306"/>
      <c r="F30" s="94"/>
      <c r="G30" s="94">
        <f t="shared" si="0"/>
        <v>0</v>
      </c>
      <c r="H30" s="94">
        <v>1</v>
      </c>
      <c r="I30" s="362">
        <f t="shared" si="1"/>
        <v>0</v>
      </c>
      <c r="J30" s="305"/>
      <c r="K30" s="97"/>
      <c r="L30" s="97"/>
      <c r="M30" s="95">
        <v>21.25</v>
      </c>
      <c r="N30" s="145">
        <f t="shared" si="2"/>
        <v>0</v>
      </c>
      <c r="O30" s="94"/>
      <c r="P30" s="300">
        <f t="shared" si="3"/>
        <v>0</v>
      </c>
      <c r="Q30" s="161">
        <f t="shared" si="4"/>
        <v>0</v>
      </c>
      <c r="R30" s="161">
        <f t="shared" si="5"/>
        <v>0</v>
      </c>
      <c r="S30" s="65"/>
      <c r="T30" s="68"/>
      <c r="U30" s="68"/>
      <c r="V30" s="68"/>
      <c r="W30" s="162"/>
      <c r="X30" s="162"/>
      <c r="Y30" s="162"/>
      <c r="Z30" s="162"/>
      <c r="AA30" s="162"/>
      <c r="AB30" s="162"/>
      <c r="AC30" s="162"/>
      <c r="AD30" s="162"/>
      <c r="AE30" s="162"/>
      <c r="AF30" s="183"/>
      <c r="AG30" s="184"/>
      <c r="AH30" s="185"/>
    </row>
    <row r="31" spans="1:34" s="64" customFormat="1" x14ac:dyDescent="0.25">
      <c r="A31" s="94" t="e">
        <f>IF(UC_DADOS!$B$2=0,"",UC_DADOS!$B$2)</f>
        <v>#N/A</v>
      </c>
      <c r="B31" s="94"/>
      <c r="C31" s="86"/>
      <c r="D31" s="100"/>
      <c r="E31" s="306"/>
      <c r="F31" s="94"/>
      <c r="G31" s="94">
        <f t="shared" si="0"/>
        <v>0</v>
      </c>
      <c r="H31" s="94">
        <v>1</v>
      </c>
      <c r="I31" s="362">
        <f t="shared" si="1"/>
        <v>0</v>
      </c>
      <c r="J31" s="305"/>
      <c r="K31" s="97"/>
      <c r="L31" s="97"/>
      <c r="M31" s="95">
        <v>21.25</v>
      </c>
      <c r="N31" s="145">
        <f t="shared" si="2"/>
        <v>0</v>
      </c>
      <c r="O31" s="94"/>
      <c r="P31" s="300">
        <f t="shared" si="3"/>
        <v>0</v>
      </c>
      <c r="Q31" s="161">
        <f t="shared" si="4"/>
        <v>0</v>
      </c>
      <c r="R31" s="161">
        <f t="shared" si="5"/>
        <v>0</v>
      </c>
      <c r="S31" s="65"/>
      <c r="T31" s="68"/>
      <c r="U31" s="68"/>
      <c r="V31" s="68"/>
      <c r="W31" s="162"/>
      <c r="X31" s="162"/>
      <c r="Y31" s="162"/>
      <c r="Z31" s="162"/>
      <c r="AA31" s="162"/>
      <c r="AB31" s="162"/>
      <c r="AC31" s="162"/>
      <c r="AD31" s="162"/>
      <c r="AE31" s="162"/>
      <c r="AF31" s="183"/>
      <c r="AG31" s="184"/>
      <c r="AH31" s="185"/>
    </row>
    <row r="32" spans="1:34" s="64" customFormat="1" x14ac:dyDescent="0.25">
      <c r="A32" s="94" t="e">
        <f>IF(UC_DADOS!$B$2=0,"",UC_DADOS!$B$2)</f>
        <v>#N/A</v>
      </c>
      <c r="B32" s="94"/>
      <c r="C32" s="86"/>
      <c r="D32" s="100"/>
      <c r="E32" s="306"/>
      <c r="F32" s="94"/>
      <c r="G32" s="94">
        <f t="shared" si="0"/>
        <v>0</v>
      </c>
      <c r="H32" s="94">
        <v>1</v>
      </c>
      <c r="I32" s="362">
        <f t="shared" si="1"/>
        <v>0</v>
      </c>
      <c r="J32" s="305"/>
      <c r="K32" s="97"/>
      <c r="L32" s="97"/>
      <c r="M32" s="95">
        <v>21.25</v>
      </c>
      <c r="N32" s="145">
        <f t="shared" si="2"/>
        <v>0</v>
      </c>
      <c r="O32" s="94"/>
      <c r="P32" s="300">
        <f t="shared" si="3"/>
        <v>0</v>
      </c>
      <c r="Q32" s="161">
        <f t="shared" si="4"/>
        <v>0</v>
      </c>
      <c r="R32" s="161">
        <f t="shared" si="5"/>
        <v>0</v>
      </c>
      <c r="S32" s="65"/>
      <c r="T32" s="68"/>
      <c r="U32" s="68"/>
      <c r="V32" s="68"/>
      <c r="W32" s="162"/>
      <c r="X32" s="162"/>
      <c r="Y32" s="162"/>
      <c r="Z32" s="162"/>
      <c r="AA32" s="162"/>
      <c r="AB32" s="162"/>
      <c r="AC32" s="162"/>
      <c r="AD32" s="162"/>
      <c r="AE32" s="162"/>
      <c r="AF32" s="183"/>
      <c r="AG32" s="184"/>
      <c r="AH32" s="185"/>
    </row>
    <row r="33" spans="1:34" s="64" customFormat="1" x14ac:dyDescent="0.25">
      <c r="A33" s="94" t="e">
        <f>IF(UC_DADOS!$B$2=0,"",UC_DADOS!$B$2)</f>
        <v>#N/A</v>
      </c>
      <c r="B33" s="94"/>
      <c r="C33" s="86"/>
      <c r="D33" s="100"/>
      <c r="E33" s="306"/>
      <c r="F33" s="94"/>
      <c r="G33" s="94">
        <f t="shared" si="0"/>
        <v>0</v>
      </c>
      <c r="H33" s="94">
        <v>1</v>
      </c>
      <c r="I33" s="362">
        <f t="shared" si="1"/>
        <v>0</v>
      </c>
      <c r="J33" s="305"/>
      <c r="K33" s="97"/>
      <c r="L33" s="97"/>
      <c r="M33" s="95">
        <v>21.25</v>
      </c>
      <c r="N33" s="145">
        <f t="shared" si="2"/>
        <v>0</v>
      </c>
      <c r="O33" s="94"/>
      <c r="P33" s="300">
        <f t="shared" si="3"/>
        <v>0</v>
      </c>
      <c r="Q33" s="161">
        <f t="shared" si="4"/>
        <v>0</v>
      </c>
      <c r="R33" s="161">
        <f t="shared" si="5"/>
        <v>0</v>
      </c>
      <c r="S33" s="65"/>
      <c r="T33" s="68"/>
      <c r="U33" s="68"/>
      <c r="V33" s="68"/>
      <c r="W33" s="162"/>
      <c r="X33" s="162"/>
      <c r="Y33" s="162"/>
      <c r="Z33" s="162"/>
      <c r="AA33" s="162"/>
      <c r="AB33" s="162"/>
      <c r="AC33" s="162"/>
      <c r="AD33" s="162"/>
      <c r="AE33" s="162"/>
      <c r="AF33" s="183"/>
      <c r="AG33" s="184"/>
      <c r="AH33" s="185"/>
    </row>
    <row r="34" spans="1:34" s="64" customFormat="1" x14ac:dyDescent="0.25">
      <c r="A34" s="94" t="e">
        <f>IF(UC_DADOS!$B$2=0,"",UC_DADOS!$B$2)</f>
        <v>#N/A</v>
      </c>
      <c r="B34" s="94"/>
      <c r="C34" s="86"/>
      <c r="D34" s="100"/>
      <c r="E34" s="306"/>
      <c r="F34" s="94"/>
      <c r="G34" s="94">
        <f t="shared" si="0"/>
        <v>0</v>
      </c>
      <c r="H34" s="94">
        <v>1</v>
      </c>
      <c r="I34" s="362">
        <f t="shared" si="1"/>
        <v>0</v>
      </c>
      <c r="J34" s="305"/>
      <c r="K34" s="97"/>
      <c r="L34" s="97"/>
      <c r="M34" s="95">
        <v>21.25</v>
      </c>
      <c r="N34" s="145">
        <f t="shared" si="2"/>
        <v>0</v>
      </c>
      <c r="O34" s="94"/>
      <c r="P34" s="300">
        <f t="shared" si="3"/>
        <v>0</v>
      </c>
      <c r="Q34" s="161">
        <f t="shared" si="4"/>
        <v>0</v>
      </c>
      <c r="R34" s="161">
        <f t="shared" si="5"/>
        <v>0</v>
      </c>
      <c r="S34" s="65"/>
      <c r="T34" s="68"/>
      <c r="U34" s="68"/>
      <c r="V34" s="68"/>
      <c r="W34" s="162"/>
      <c r="X34" s="162"/>
      <c r="Y34" s="162"/>
      <c r="Z34" s="162"/>
      <c r="AA34" s="162"/>
      <c r="AB34" s="162"/>
      <c r="AC34" s="162"/>
      <c r="AD34" s="162"/>
      <c r="AE34" s="162"/>
      <c r="AF34" s="183"/>
      <c r="AG34" s="184"/>
      <c r="AH34" s="185"/>
    </row>
    <row r="35" spans="1:34" s="64" customFormat="1" x14ac:dyDescent="0.25">
      <c r="A35" s="94" t="e">
        <f>IF(UC_DADOS!$B$2=0,"",UC_DADOS!$B$2)</f>
        <v>#N/A</v>
      </c>
      <c r="B35" s="94"/>
      <c r="C35" s="86"/>
      <c r="D35" s="100"/>
      <c r="E35" s="306"/>
      <c r="F35" s="94"/>
      <c r="G35" s="94">
        <f t="shared" si="0"/>
        <v>0</v>
      </c>
      <c r="H35" s="94">
        <v>1</v>
      </c>
      <c r="I35" s="362">
        <f t="shared" si="1"/>
        <v>0</v>
      </c>
      <c r="J35" s="305"/>
      <c r="K35" s="97"/>
      <c r="L35" s="97"/>
      <c r="M35" s="95">
        <v>21.25</v>
      </c>
      <c r="N35" s="145">
        <f t="shared" si="2"/>
        <v>0</v>
      </c>
      <c r="O35" s="94"/>
      <c r="P35" s="300">
        <f t="shared" si="3"/>
        <v>0</v>
      </c>
      <c r="Q35" s="161">
        <f t="shared" si="4"/>
        <v>0</v>
      </c>
      <c r="R35" s="161">
        <f t="shared" si="5"/>
        <v>0</v>
      </c>
      <c r="S35" s="65"/>
      <c r="T35" s="68"/>
      <c r="U35" s="68"/>
      <c r="V35" s="68"/>
      <c r="W35" s="162"/>
      <c r="X35" s="162"/>
      <c r="Y35" s="162"/>
      <c r="Z35" s="162"/>
      <c r="AA35" s="162"/>
      <c r="AB35" s="162"/>
      <c r="AC35" s="162"/>
      <c r="AD35" s="162"/>
      <c r="AE35" s="162"/>
      <c r="AF35" s="183"/>
      <c r="AG35" s="184"/>
      <c r="AH35" s="185"/>
    </row>
    <row r="36" spans="1:34" s="64" customFormat="1" x14ac:dyDescent="0.25">
      <c r="A36" s="94" t="e">
        <f>IF(UC_DADOS!$B$2=0,"",UC_DADOS!$B$2)</f>
        <v>#N/A</v>
      </c>
      <c r="B36" s="94"/>
      <c r="C36" s="86"/>
      <c r="D36" s="100"/>
      <c r="E36" s="306"/>
      <c r="F36" s="94"/>
      <c r="G36" s="94">
        <f t="shared" si="0"/>
        <v>0</v>
      </c>
      <c r="H36" s="94">
        <v>1</v>
      </c>
      <c r="I36" s="362">
        <f t="shared" si="1"/>
        <v>0</v>
      </c>
      <c r="J36" s="305"/>
      <c r="K36" s="97"/>
      <c r="L36" s="97"/>
      <c r="M36" s="95">
        <v>21.25</v>
      </c>
      <c r="N36" s="145">
        <f t="shared" si="2"/>
        <v>0</v>
      </c>
      <c r="O36" s="94"/>
      <c r="P36" s="300">
        <f t="shared" si="3"/>
        <v>0</v>
      </c>
      <c r="Q36" s="161">
        <f t="shared" si="4"/>
        <v>0</v>
      </c>
      <c r="R36" s="161">
        <f t="shared" si="5"/>
        <v>0</v>
      </c>
      <c r="S36" s="65"/>
      <c r="T36" s="68"/>
      <c r="U36" s="68"/>
      <c r="V36" s="68"/>
      <c r="W36" s="162"/>
      <c r="X36" s="162"/>
      <c r="Y36" s="162"/>
      <c r="Z36" s="162"/>
      <c r="AA36" s="162"/>
      <c r="AB36" s="162"/>
      <c r="AC36" s="162"/>
      <c r="AD36" s="162"/>
      <c r="AE36" s="162"/>
      <c r="AF36" s="183"/>
      <c r="AG36" s="184"/>
      <c r="AH36" s="185"/>
    </row>
    <row r="37" spans="1:34" s="64" customFormat="1" x14ac:dyDescent="0.25">
      <c r="A37" s="94" t="e">
        <f>IF(UC_DADOS!$B$2=0,"",UC_DADOS!$B$2)</f>
        <v>#N/A</v>
      </c>
      <c r="B37" s="94"/>
      <c r="C37" s="86"/>
      <c r="D37" s="100"/>
      <c r="E37" s="306"/>
      <c r="F37" s="94"/>
      <c r="G37" s="94">
        <f t="shared" si="0"/>
        <v>0</v>
      </c>
      <c r="H37" s="94">
        <v>1</v>
      </c>
      <c r="I37" s="362">
        <f t="shared" si="1"/>
        <v>0</v>
      </c>
      <c r="J37" s="305"/>
      <c r="K37" s="97"/>
      <c r="L37" s="97"/>
      <c r="M37" s="95">
        <v>21.25</v>
      </c>
      <c r="N37" s="145">
        <f t="shared" si="2"/>
        <v>0</v>
      </c>
      <c r="O37" s="94"/>
      <c r="P37" s="300">
        <f t="shared" si="3"/>
        <v>0</v>
      </c>
      <c r="Q37" s="161">
        <f t="shared" si="4"/>
        <v>0</v>
      </c>
      <c r="R37" s="161">
        <f t="shared" si="5"/>
        <v>0</v>
      </c>
      <c r="S37" s="65"/>
      <c r="T37" s="68"/>
      <c r="U37" s="68"/>
      <c r="V37" s="68"/>
      <c r="W37" s="162"/>
      <c r="X37" s="162"/>
      <c r="Y37" s="162"/>
      <c r="Z37" s="162"/>
      <c r="AA37" s="162"/>
      <c r="AB37" s="162"/>
      <c r="AC37" s="162"/>
      <c r="AD37" s="162"/>
      <c r="AE37" s="162"/>
      <c r="AF37" s="183"/>
      <c r="AG37" s="184"/>
      <c r="AH37" s="185"/>
    </row>
    <row r="38" spans="1:34" s="64" customFormat="1" x14ac:dyDescent="0.25">
      <c r="A38" s="94" t="e">
        <f>IF(UC_DADOS!$B$2=0,"",UC_DADOS!$B$2)</f>
        <v>#N/A</v>
      </c>
      <c r="B38" s="94"/>
      <c r="C38" s="86"/>
      <c r="D38" s="100"/>
      <c r="E38" s="306"/>
      <c r="F38" s="94"/>
      <c r="G38" s="94">
        <f t="shared" si="0"/>
        <v>0</v>
      </c>
      <c r="H38" s="94">
        <v>1</v>
      </c>
      <c r="I38" s="362">
        <f t="shared" si="1"/>
        <v>0</v>
      </c>
      <c r="J38" s="305"/>
      <c r="K38" s="97"/>
      <c r="L38" s="97"/>
      <c r="M38" s="95">
        <v>21.25</v>
      </c>
      <c r="N38" s="145">
        <f t="shared" si="2"/>
        <v>0</v>
      </c>
      <c r="O38" s="94"/>
      <c r="P38" s="300">
        <f t="shared" si="3"/>
        <v>0</v>
      </c>
      <c r="Q38" s="161">
        <f t="shared" si="4"/>
        <v>0</v>
      </c>
      <c r="R38" s="161">
        <f t="shared" si="5"/>
        <v>0</v>
      </c>
      <c r="S38" s="65"/>
      <c r="T38" s="68"/>
      <c r="U38" s="68"/>
      <c r="V38" s="68"/>
      <c r="W38" s="162"/>
      <c r="X38" s="162"/>
      <c r="Y38" s="162"/>
      <c r="Z38" s="162"/>
      <c r="AA38" s="162"/>
      <c r="AB38" s="162"/>
      <c r="AC38" s="162"/>
      <c r="AD38" s="162"/>
      <c r="AE38" s="162"/>
      <c r="AF38" s="183"/>
      <c r="AG38" s="184"/>
      <c r="AH38" s="185"/>
    </row>
    <row r="39" spans="1:34" s="64" customFormat="1" x14ac:dyDescent="0.25">
      <c r="A39" s="94" t="e">
        <f>IF(UC_DADOS!$B$2=0,"",UC_DADOS!$B$2)</f>
        <v>#N/A</v>
      </c>
      <c r="B39" s="94"/>
      <c r="C39" s="86"/>
      <c r="D39" s="100"/>
      <c r="E39" s="306"/>
      <c r="F39" s="94"/>
      <c r="G39" s="94">
        <f t="shared" si="0"/>
        <v>0</v>
      </c>
      <c r="H39" s="94">
        <v>1</v>
      </c>
      <c r="I39" s="362">
        <f t="shared" si="1"/>
        <v>0</v>
      </c>
      <c r="J39" s="305"/>
      <c r="K39" s="97"/>
      <c r="L39" s="97"/>
      <c r="M39" s="95">
        <v>21.25</v>
      </c>
      <c r="N39" s="145">
        <f t="shared" si="2"/>
        <v>0</v>
      </c>
      <c r="O39" s="94"/>
      <c r="P39" s="300">
        <f t="shared" si="3"/>
        <v>0</v>
      </c>
      <c r="Q39" s="161">
        <f t="shared" si="4"/>
        <v>0</v>
      </c>
      <c r="R39" s="161">
        <f t="shared" si="5"/>
        <v>0</v>
      </c>
      <c r="S39" s="65"/>
      <c r="T39" s="68"/>
      <c r="U39" s="68"/>
      <c r="V39" s="68"/>
      <c r="W39" s="162"/>
      <c r="X39" s="162"/>
      <c r="Y39" s="162"/>
      <c r="Z39" s="162"/>
      <c r="AA39" s="162"/>
      <c r="AB39" s="162"/>
      <c r="AC39" s="162"/>
      <c r="AD39" s="162"/>
      <c r="AE39" s="162"/>
      <c r="AF39" s="183"/>
      <c r="AG39" s="184"/>
      <c r="AH39" s="185"/>
    </row>
    <row r="40" spans="1:34" s="64" customFormat="1" x14ac:dyDescent="0.25">
      <c r="A40" s="94" t="e">
        <f>IF(UC_DADOS!$B$2=0,"",UC_DADOS!$B$2)</f>
        <v>#N/A</v>
      </c>
      <c r="B40" s="94"/>
      <c r="C40" s="86"/>
      <c r="D40" s="100"/>
      <c r="E40" s="306"/>
      <c r="F40" s="94"/>
      <c r="G40" s="94">
        <f t="shared" si="0"/>
        <v>0</v>
      </c>
      <c r="H40" s="94">
        <v>1</v>
      </c>
      <c r="I40" s="362">
        <f t="shared" si="1"/>
        <v>0</v>
      </c>
      <c r="J40" s="305"/>
      <c r="K40" s="97"/>
      <c r="L40" s="97"/>
      <c r="M40" s="95">
        <v>21.25</v>
      </c>
      <c r="N40" s="145">
        <f t="shared" si="2"/>
        <v>0</v>
      </c>
      <c r="O40" s="94"/>
      <c r="P40" s="300">
        <f t="shared" si="3"/>
        <v>0</v>
      </c>
      <c r="Q40" s="161">
        <f t="shared" si="4"/>
        <v>0</v>
      </c>
      <c r="R40" s="161">
        <f t="shared" si="5"/>
        <v>0</v>
      </c>
      <c r="S40" s="65"/>
      <c r="T40" s="68"/>
      <c r="U40" s="68"/>
      <c r="V40" s="68"/>
      <c r="W40" s="162"/>
      <c r="X40" s="162"/>
      <c r="Y40" s="162"/>
      <c r="Z40" s="162"/>
      <c r="AA40" s="162"/>
      <c r="AB40" s="162"/>
      <c r="AC40" s="162"/>
      <c r="AD40" s="162"/>
      <c r="AE40" s="162"/>
      <c r="AF40" s="183"/>
      <c r="AG40" s="184"/>
      <c r="AH40" s="185"/>
    </row>
    <row r="41" spans="1:34" s="64" customFormat="1" x14ac:dyDescent="0.25">
      <c r="A41" s="94" t="e">
        <f>IF(UC_DADOS!$B$2=0,"",UC_DADOS!$B$2)</f>
        <v>#N/A</v>
      </c>
      <c r="B41" s="94"/>
      <c r="C41" s="86"/>
      <c r="D41" s="100"/>
      <c r="E41" s="306"/>
      <c r="F41" s="94"/>
      <c r="G41" s="94">
        <f t="shared" si="0"/>
        <v>0</v>
      </c>
      <c r="H41" s="94">
        <v>1</v>
      </c>
      <c r="I41" s="362">
        <f t="shared" si="1"/>
        <v>0</v>
      </c>
      <c r="J41" s="305"/>
      <c r="K41" s="97"/>
      <c r="L41" s="97"/>
      <c r="M41" s="95">
        <v>21.25</v>
      </c>
      <c r="N41" s="145">
        <f t="shared" si="2"/>
        <v>0</v>
      </c>
      <c r="O41" s="94"/>
      <c r="P41" s="300">
        <f t="shared" si="3"/>
        <v>0</v>
      </c>
      <c r="Q41" s="161">
        <f t="shared" si="4"/>
        <v>0</v>
      </c>
      <c r="R41" s="161">
        <f t="shared" si="5"/>
        <v>0</v>
      </c>
      <c r="S41" s="65"/>
      <c r="T41" s="68"/>
      <c r="U41" s="68"/>
      <c r="V41" s="68"/>
      <c r="W41" s="162"/>
      <c r="X41" s="162"/>
      <c r="Y41" s="162"/>
      <c r="Z41" s="162"/>
      <c r="AA41" s="162"/>
      <c r="AB41" s="162"/>
      <c r="AC41" s="162"/>
      <c r="AD41" s="162"/>
      <c r="AE41" s="162"/>
      <c r="AF41" s="183"/>
      <c r="AG41" s="184"/>
      <c r="AH41" s="185"/>
    </row>
    <row r="42" spans="1:34" s="64" customFormat="1" x14ac:dyDescent="0.25">
      <c r="A42" s="94" t="e">
        <f>IF(UC_DADOS!$B$2=0,"",UC_DADOS!$B$2)</f>
        <v>#N/A</v>
      </c>
      <c r="B42" s="94"/>
      <c r="C42" s="86"/>
      <c r="D42" s="100"/>
      <c r="E42" s="306"/>
      <c r="F42" s="94"/>
      <c r="G42" s="94">
        <f t="shared" si="0"/>
        <v>0</v>
      </c>
      <c r="H42" s="94">
        <v>1</v>
      </c>
      <c r="I42" s="362">
        <f t="shared" si="1"/>
        <v>0</v>
      </c>
      <c r="J42" s="305"/>
      <c r="K42" s="97"/>
      <c r="L42" s="97"/>
      <c r="M42" s="95">
        <v>21.25</v>
      </c>
      <c r="N42" s="145">
        <f t="shared" si="2"/>
        <v>0</v>
      </c>
      <c r="O42" s="94"/>
      <c r="P42" s="300">
        <f t="shared" si="3"/>
        <v>0</v>
      </c>
      <c r="Q42" s="161">
        <f t="shared" si="4"/>
        <v>0</v>
      </c>
      <c r="R42" s="161">
        <f t="shared" si="5"/>
        <v>0</v>
      </c>
      <c r="S42" s="65"/>
      <c r="T42" s="68"/>
      <c r="U42" s="68"/>
      <c r="V42" s="68"/>
      <c r="W42" s="162"/>
      <c r="X42" s="162"/>
      <c r="Y42" s="162"/>
      <c r="Z42" s="162"/>
      <c r="AA42" s="162"/>
      <c r="AB42" s="162"/>
      <c r="AC42" s="162"/>
      <c r="AD42" s="162"/>
      <c r="AE42" s="162"/>
      <c r="AF42" s="183"/>
      <c r="AG42" s="184"/>
      <c r="AH42" s="185"/>
    </row>
    <row r="43" spans="1:34" s="64" customFormat="1" x14ac:dyDescent="0.25">
      <c r="A43" s="94" t="e">
        <f>IF(UC_DADOS!$B$2=0,"",UC_DADOS!$B$2)</f>
        <v>#N/A</v>
      </c>
      <c r="B43" s="94"/>
      <c r="C43" s="86"/>
      <c r="D43" s="100"/>
      <c r="E43" s="306"/>
      <c r="F43" s="94"/>
      <c r="G43" s="94">
        <f t="shared" si="0"/>
        <v>0</v>
      </c>
      <c r="H43" s="94">
        <v>1</v>
      </c>
      <c r="I43" s="362">
        <f t="shared" si="1"/>
        <v>0</v>
      </c>
      <c r="J43" s="305"/>
      <c r="K43" s="97"/>
      <c r="L43" s="97"/>
      <c r="M43" s="95">
        <v>21.25</v>
      </c>
      <c r="N43" s="145">
        <f t="shared" si="2"/>
        <v>0</v>
      </c>
      <c r="O43" s="94"/>
      <c r="P43" s="300">
        <f t="shared" si="3"/>
        <v>0</v>
      </c>
      <c r="Q43" s="161">
        <f t="shared" si="4"/>
        <v>0</v>
      </c>
      <c r="R43" s="161">
        <f t="shared" si="5"/>
        <v>0</v>
      </c>
      <c r="S43" s="65"/>
      <c r="T43" s="68"/>
      <c r="U43" s="68"/>
      <c r="V43" s="68"/>
      <c r="W43" s="162"/>
      <c r="X43" s="162"/>
      <c r="Y43" s="162"/>
      <c r="Z43" s="162"/>
      <c r="AA43" s="162"/>
      <c r="AB43" s="162"/>
      <c r="AC43" s="162"/>
      <c r="AD43" s="162"/>
      <c r="AE43" s="162"/>
      <c r="AF43" s="183"/>
      <c r="AG43" s="184"/>
      <c r="AH43" s="185"/>
    </row>
    <row r="44" spans="1:34" s="64" customFormat="1" x14ac:dyDescent="0.25">
      <c r="A44" s="94" t="e">
        <f>IF(UC_DADOS!$B$2=0,"",UC_DADOS!$B$2)</f>
        <v>#N/A</v>
      </c>
      <c r="B44" s="94"/>
      <c r="C44" s="86"/>
      <c r="D44" s="100"/>
      <c r="E44" s="306"/>
      <c r="F44" s="94"/>
      <c r="G44" s="94">
        <f t="shared" si="0"/>
        <v>0</v>
      </c>
      <c r="H44" s="94">
        <v>1</v>
      </c>
      <c r="I44" s="362">
        <f t="shared" si="1"/>
        <v>0</v>
      </c>
      <c r="J44" s="305"/>
      <c r="K44" s="97"/>
      <c r="L44" s="97"/>
      <c r="M44" s="95">
        <v>21.25</v>
      </c>
      <c r="N44" s="145">
        <f t="shared" si="2"/>
        <v>0</v>
      </c>
      <c r="O44" s="94"/>
      <c r="P44" s="300">
        <f t="shared" si="3"/>
        <v>0</v>
      </c>
      <c r="Q44" s="161">
        <f t="shared" si="4"/>
        <v>0</v>
      </c>
      <c r="R44" s="161">
        <f t="shared" si="5"/>
        <v>0</v>
      </c>
      <c r="S44" s="65"/>
      <c r="T44" s="68"/>
      <c r="U44" s="68"/>
      <c r="V44" s="68"/>
      <c r="W44" s="162"/>
      <c r="X44" s="162"/>
      <c r="Y44" s="162"/>
      <c r="Z44" s="162"/>
      <c r="AA44" s="162"/>
      <c r="AB44" s="162"/>
      <c r="AC44" s="162"/>
      <c r="AD44" s="162"/>
      <c r="AE44" s="162"/>
      <c r="AF44" s="183"/>
      <c r="AG44" s="184"/>
      <c r="AH44" s="185"/>
    </row>
    <row r="45" spans="1:34" s="64" customFormat="1" x14ac:dyDescent="0.25">
      <c r="A45" s="94" t="e">
        <f>IF(UC_DADOS!$B$2=0,"",UC_DADOS!$B$2)</f>
        <v>#N/A</v>
      </c>
      <c r="B45" s="94"/>
      <c r="C45" s="86"/>
      <c r="D45" s="100"/>
      <c r="E45" s="306"/>
      <c r="F45" s="94"/>
      <c r="G45" s="94">
        <f t="shared" si="0"/>
        <v>0</v>
      </c>
      <c r="H45" s="94">
        <v>1</v>
      </c>
      <c r="I45" s="362">
        <f t="shared" si="1"/>
        <v>0</v>
      </c>
      <c r="J45" s="305"/>
      <c r="K45" s="97"/>
      <c r="L45" s="97"/>
      <c r="M45" s="95">
        <v>21.25</v>
      </c>
      <c r="N45" s="145">
        <f t="shared" si="2"/>
        <v>0</v>
      </c>
      <c r="O45" s="94"/>
      <c r="P45" s="300">
        <f t="shared" si="3"/>
        <v>0</v>
      </c>
      <c r="Q45" s="161">
        <f t="shared" si="4"/>
        <v>0</v>
      </c>
      <c r="R45" s="161">
        <f t="shared" si="5"/>
        <v>0</v>
      </c>
      <c r="S45" s="65"/>
      <c r="T45" s="68"/>
      <c r="U45" s="68"/>
      <c r="V45" s="68"/>
      <c r="W45" s="162"/>
      <c r="X45" s="162"/>
      <c r="Y45" s="162"/>
      <c r="Z45" s="162"/>
      <c r="AA45" s="162"/>
      <c r="AB45" s="162"/>
      <c r="AC45" s="162"/>
      <c r="AD45" s="162"/>
      <c r="AE45" s="162"/>
      <c r="AF45" s="183"/>
      <c r="AG45" s="184"/>
      <c r="AH45" s="185"/>
    </row>
    <row r="46" spans="1:34" s="64" customFormat="1" x14ac:dyDescent="0.25">
      <c r="A46" s="94" t="e">
        <f>IF(UC_DADOS!$B$2=0,"",UC_DADOS!$B$2)</f>
        <v>#N/A</v>
      </c>
      <c r="B46" s="94"/>
      <c r="C46" s="86"/>
      <c r="D46" s="100"/>
      <c r="E46" s="306"/>
      <c r="F46" s="94"/>
      <c r="G46" s="94">
        <f t="shared" ref="G46:G52" si="6">(E46*F46)/1000</f>
        <v>0</v>
      </c>
      <c r="H46" s="94">
        <v>1</v>
      </c>
      <c r="I46" s="362">
        <f t="shared" ref="I46:I52" si="7">(G46*H46)</f>
        <v>0</v>
      </c>
      <c r="J46" s="305"/>
      <c r="K46" s="97"/>
      <c r="L46" s="97"/>
      <c r="M46" s="95">
        <v>21.25</v>
      </c>
      <c r="N46" s="145">
        <f t="shared" si="2"/>
        <v>0</v>
      </c>
      <c r="O46" s="94"/>
      <c r="P46" s="300">
        <f t="shared" ref="P46:P52" si="8">N46*O46*M46/765</f>
        <v>0</v>
      </c>
      <c r="Q46" s="161">
        <f t="shared" ref="Q46:Q52" si="9">(I46*N46)/1000</f>
        <v>0</v>
      </c>
      <c r="R46" s="161">
        <f t="shared" ref="R46:R52" si="10">P46*I46</f>
        <v>0</v>
      </c>
      <c r="S46" s="65"/>
      <c r="T46" s="68"/>
      <c r="U46" s="68"/>
      <c r="V46" s="68"/>
      <c r="W46" s="162"/>
      <c r="X46" s="162"/>
      <c r="Y46" s="162"/>
      <c r="Z46" s="162"/>
      <c r="AA46" s="162"/>
      <c r="AB46" s="162"/>
      <c r="AC46" s="162"/>
      <c r="AD46" s="162"/>
      <c r="AE46" s="162"/>
      <c r="AF46" s="183"/>
      <c r="AG46" s="184"/>
      <c r="AH46" s="185"/>
    </row>
    <row r="47" spans="1:34" s="64" customFormat="1" x14ac:dyDescent="0.25">
      <c r="A47" s="94" t="e">
        <f>IF(UC_DADOS!$B$2=0,"",UC_DADOS!$B$2)</f>
        <v>#N/A</v>
      </c>
      <c r="B47" s="94"/>
      <c r="C47" s="86"/>
      <c r="D47" s="100"/>
      <c r="E47" s="306"/>
      <c r="F47" s="94"/>
      <c r="G47" s="94">
        <f t="shared" si="6"/>
        <v>0</v>
      </c>
      <c r="H47" s="94">
        <v>1</v>
      </c>
      <c r="I47" s="362">
        <f t="shared" si="7"/>
        <v>0</v>
      </c>
      <c r="J47" s="305"/>
      <c r="K47" s="97"/>
      <c r="L47" s="97"/>
      <c r="M47" s="95">
        <v>21.25</v>
      </c>
      <c r="N47" s="145">
        <f t="shared" si="2"/>
        <v>0</v>
      </c>
      <c r="O47" s="94"/>
      <c r="P47" s="300">
        <f t="shared" si="8"/>
        <v>0</v>
      </c>
      <c r="Q47" s="161">
        <f t="shared" si="9"/>
        <v>0</v>
      </c>
      <c r="R47" s="161">
        <f t="shared" si="10"/>
        <v>0</v>
      </c>
      <c r="S47" s="65"/>
      <c r="T47" s="68"/>
      <c r="U47" s="68"/>
      <c r="V47" s="68"/>
      <c r="W47" s="162"/>
      <c r="X47" s="162"/>
      <c r="Y47" s="162"/>
      <c r="Z47" s="162"/>
      <c r="AA47" s="162"/>
      <c r="AB47" s="162"/>
      <c r="AC47" s="162"/>
      <c r="AD47" s="162"/>
      <c r="AE47" s="162"/>
      <c r="AF47" s="183"/>
      <c r="AG47" s="184"/>
      <c r="AH47" s="185"/>
    </row>
    <row r="48" spans="1:34" s="64" customFormat="1" x14ac:dyDescent="0.25">
      <c r="A48" s="94" t="e">
        <f>IF(UC_DADOS!$B$2=0,"",UC_DADOS!$B$2)</f>
        <v>#N/A</v>
      </c>
      <c r="B48" s="94"/>
      <c r="C48" s="86"/>
      <c r="D48" s="100"/>
      <c r="E48" s="306"/>
      <c r="F48" s="94"/>
      <c r="G48" s="94">
        <f t="shared" si="6"/>
        <v>0</v>
      </c>
      <c r="H48" s="94">
        <v>1</v>
      </c>
      <c r="I48" s="362">
        <f t="shared" si="7"/>
        <v>0</v>
      </c>
      <c r="J48" s="305"/>
      <c r="K48" s="97"/>
      <c r="L48" s="97"/>
      <c r="M48" s="95">
        <v>21.25</v>
      </c>
      <c r="N48" s="145">
        <f t="shared" si="2"/>
        <v>0</v>
      </c>
      <c r="O48" s="94"/>
      <c r="P48" s="300">
        <f t="shared" si="8"/>
        <v>0</v>
      </c>
      <c r="Q48" s="161">
        <f t="shared" si="9"/>
        <v>0</v>
      </c>
      <c r="R48" s="161">
        <f t="shared" si="10"/>
        <v>0</v>
      </c>
      <c r="S48" s="65"/>
      <c r="T48" s="68"/>
      <c r="U48" s="68"/>
      <c r="V48" s="68"/>
      <c r="W48" s="162"/>
      <c r="X48" s="162"/>
      <c r="Y48" s="162"/>
      <c r="Z48" s="162"/>
      <c r="AA48" s="162"/>
      <c r="AB48" s="162"/>
      <c r="AC48" s="162"/>
      <c r="AD48" s="162"/>
      <c r="AE48" s="162"/>
      <c r="AF48" s="183"/>
      <c r="AG48" s="184"/>
      <c r="AH48" s="185"/>
    </row>
    <row r="49" spans="1:34" s="64" customFormat="1" x14ac:dyDescent="0.25">
      <c r="A49" s="94" t="e">
        <f>IF(UC_DADOS!$B$2=0,"",UC_DADOS!$B$2)</f>
        <v>#N/A</v>
      </c>
      <c r="B49" s="94"/>
      <c r="C49" s="86"/>
      <c r="D49" s="100"/>
      <c r="E49" s="306"/>
      <c r="F49" s="94"/>
      <c r="G49" s="94">
        <f t="shared" si="6"/>
        <v>0</v>
      </c>
      <c r="H49" s="94">
        <v>1</v>
      </c>
      <c r="I49" s="362">
        <f t="shared" si="7"/>
        <v>0</v>
      </c>
      <c r="J49" s="305"/>
      <c r="K49" s="97"/>
      <c r="L49" s="97"/>
      <c r="M49" s="95">
        <v>21.25</v>
      </c>
      <c r="N49" s="145">
        <f t="shared" si="2"/>
        <v>0</v>
      </c>
      <c r="O49" s="94"/>
      <c r="P49" s="300">
        <f t="shared" si="8"/>
        <v>0</v>
      </c>
      <c r="Q49" s="161">
        <f t="shared" si="9"/>
        <v>0</v>
      </c>
      <c r="R49" s="161">
        <f t="shared" si="10"/>
        <v>0</v>
      </c>
      <c r="S49" s="65"/>
      <c r="T49" s="68"/>
      <c r="U49" s="68"/>
      <c r="V49" s="68"/>
      <c r="W49" s="162"/>
      <c r="X49" s="162"/>
      <c r="Y49" s="162"/>
      <c r="Z49" s="162"/>
      <c r="AA49" s="162"/>
      <c r="AB49" s="162"/>
      <c r="AC49" s="162"/>
      <c r="AD49" s="162"/>
      <c r="AE49" s="162"/>
      <c r="AF49" s="183"/>
      <c r="AG49" s="184"/>
      <c r="AH49" s="185"/>
    </row>
    <row r="50" spans="1:34" s="64" customFormat="1" x14ac:dyDescent="0.25">
      <c r="A50" s="94" t="e">
        <f>IF(UC_DADOS!$B$2=0,"",UC_DADOS!$B$2)</f>
        <v>#N/A</v>
      </c>
      <c r="B50" s="94"/>
      <c r="C50" s="86"/>
      <c r="D50" s="100"/>
      <c r="E50" s="306"/>
      <c r="F50" s="94"/>
      <c r="G50" s="94">
        <f t="shared" si="6"/>
        <v>0</v>
      </c>
      <c r="H50" s="94">
        <v>1</v>
      </c>
      <c r="I50" s="362">
        <f t="shared" si="7"/>
        <v>0</v>
      </c>
      <c r="J50" s="305"/>
      <c r="K50" s="97"/>
      <c r="L50" s="97"/>
      <c r="M50" s="95">
        <v>21.25</v>
      </c>
      <c r="N50" s="145">
        <f t="shared" si="2"/>
        <v>0</v>
      </c>
      <c r="O50" s="94"/>
      <c r="P50" s="300">
        <f t="shared" si="8"/>
        <v>0</v>
      </c>
      <c r="Q50" s="161">
        <f t="shared" si="9"/>
        <v>0</v>
      </c>
      <c r="R50" s="161">
        <f t="shared" si="10"/>
        <v>0</v>
      </c>
      <c r="S50" s="65"/>
      <c r="T50" s="68"/>
      <c r="U50" s="68"/>
      <c r="V50" s="68"/>
      <c r="W50" s="162"/>
      <c r="X50" s="162"/>
      <c r="Y50" s="162"/>
      <c r="Z50" s="162"/>
      <c r="AA50" s="162"/>
      <c r="AB50" s="162"/>
      <c r="AC50" s="162"/>
      <c r="AD50" s="162"/>
      <c r="AE50" s="162"/>
      <c r="AF50" s="183"/>
      <c r="AG50" s="184"/>
      <c r="AH50" s="185"/>
    </row>
    <row r="51" spans="1:34" s="64" customFormat="1" x14ac:dyDescent="0.25">
      <c r="A51" s="94" t="e">
        <f>IF(UC_DADOS!$B$2=0,"",UC_DADOS!$B$2)</f>
        <v>#N/A</v>
      </c>
      <c r="B51" s="94"/>
      <c r="C51" s="86"/>
      <c r="D51" s="100"/>
      <c r="E51" s="306"/>
      <c r="F51" s="94"/>
      <c r="G51" s="94">
        <f t="shared" si="6"/>
        <v>0</v>
      </c>
      <c r="H51" s="94">
        <v>1</v>
      </c>
      <c r="I51" s="362">
        <f t="shared" si="7"/>
        <v>0</v>
      </c>
      <c r="J51" s="305"/>
      <c r="K51" s="97"/>
      <c r="L51" s="97"/>
      <c r="M51" s="95">
        <v>21.25</v>
      </c>
      <c r="N51" s="145">
        <f t="shared" si="2"/>
        <v>0</v>
      </c>
      <c r="O51" s="94"/>
      <c r="P51" s="300">
        <f t="shared" si="8"/>
        <v>0</v>
      </c>
      <c r="Q51" s="161">
        <f t="shared" si="9"/>
        <v>0</v>
      </c>
      <c r="R51" s="161">
        <f t="shared" si="10"/>
        <v>0</v>
      </c>
      <c r="S51" s="65"/>
      <c r="T51" s="68"/>
      <c r="U51" s="68"/>
      <c r="V51" s="68"/>
      <c r="W51" s="162"/>
      <c r="X51" s="162"/>
      <c r="Y51" s="162"/>
      <c r="Z51" s="162"/>
      <c r="AA51" s="162"/>
      <c r="AB51" s="162"/>
      <c r="AC51" s="162"/>
      <c r="AD51" s="162"/>
      <c r="AE51" s="162"/>
      <c r="AF51" s="183"/>
      <c r="AG51" s="184"/>
      <c r="AH51" s="185"/>
    </row>
    <row r="52" spans="1:34" s="64" customFormat="1" x14ac:dyDescent="0.25">
      <c r="A52" s="94" t="e">
        <f>IF(UC_DADOS!$B$2=0,"",UC_DADOS!$B$2)</f>
        <v>#N/A</v>
      </c>
      <c r="B52" s="94"/>
      <c r="C52" s="86"/>
      <c r="D52" s="100"/>
      <c r="E52" s="306"/>
      <c r="F52" s="94"/>
      <c r="G52" s="94">
        <f t="shared" si="6"/>
        <v>0</v>
      </c>
      <c r="H52" s="94">
        <v>1</v>
      </c>
      <c r="I52" s="362">
        <f t="shared" si="7"/>
        <v>0</v>
      </c>
      <c r="J52" s="305"/>
      <c r="K52" s="97"/>
      <c r="L52" s="97"/>
      <c r="M52" s="95">
        <v>21.25</v>
      </c>
      <c r="N52" s="145">
        <f t="shared" si="2"/>
        <v>0</v>
      </c>
      <c r="O52" s="94"/>
      <c r="P52" s="300">
        <f t="shared" si="8"/>
        <v>0</v>
      </c>
      <c r="Q52" s="161">
        <f t="shared" si="9"/>
        <v>0</v>
      </c>
      <c r="R52" s="161">
        <f t="shared" si="10"/>
        <v>0</v>
      </c>
      <c r="S52" s="170"/>
      <c r="T52" s="173"/>
      <c r="U52" s="173"/>
      <c r="V52" s="173"/>
      <c r="W52" s="178"/>
      <c r="X52" s="178"/>
      <c r="Y52" s="178"/>
      <c r="Z52" s="178"/>
      <c r="AA52" s="178"/>
      <c r="AB52" s="178"/>
      <c r="AC52" s="178"/>
      <c r="AD52" s="178"/>
      <c r="AE52" s="178"/>
      <c r="AF52" s="186"/>
      <c r="AG52" s="187"/>
      <c r="AH52" s="188"/>
    </row>
    <row r="53" spans="1:34" x14ac:dyDescent="0.25">
      <c r="A53" s="151"/>
      <c r="B53" s="151"/>
      <c r="C53" s="151"/>
      <c r="D53" s="151"/>
      <c r="E53" s="153"/>
      <c r="F53" s="152">
        <f>SUM(F3:F52)</f>
        <v>0</v>
      </c>
      <c r="G53" s="154">
        <f>SUM(G3:G52)</f>
        <v>0</v>
      </c>
      <c r="H53" s="154"/>
      <c r="I53" s="154"/>
      <c r="J53" s="154">
        <f>SUM(J3:J52)</f>
        <v>0</v>
      </c>
      <c r="K53" s="153"/>
      <c r="L53" s="153"/>
      <c r="M53" s="153"/>
      <c r="N53" s="153"/>
      <c r="O53" s="153"/>
      <c r="P53" s="153"/>
      <c r="Q53" s="154">
        <f>SUM(Q3:Q52)</f>
        <v>0</v>
      </c>
      <c r="R53" s="154">
        <f>SUM(R3:R52)</f>
        <v>0</v>
      </c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</row>
  </sheetData>
  <mergeCells count="4">
    <mergeCell ref="D1:R1"/>
    <mergeCell ref="AF1:AH1"/>
    <mergeCell ref="S1:AE1"/>
    <mergeCell ref="A1:C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59"/>
  <sheetViews>
    <sheetView showGridLines="0" zoomScale="85" zoomScaleNormal="85" workbookViewId="0">
      <pane xSplit="2" ySplit="2" topLeftCell="C15" activePane="bottomRight" state="frozen"/>
      <selection pane="topRight" activeCell="Q1" sqref="Q1"/>
      <selection pane="bottomLeft" activeCell="A8" sqref="A8"/>
      <selection pane="bottomRight" activeCell="A57" sqref="A4:AH57"/>
    </sheetView>
  </sheetViews>
  <sheetFormatPr defaultColWidth="8.85546875" defaultRowHeight="15" x14ac:dyDescent="0.25"/>
  <cols>
    <col min="1" max="1" width="19" style="52" customWidth="1"/>
    <col min="2" max="2" width="40.7109375" style="53" customWidth="1"/>
    <col min="3" max="17" width="18.85546875" style="54" customWidth="1"/>
    <col min="18" max="31" width="20.42578125" style="54" customWidth="1"/>
    <col min="32" max="34" width="18.42578125" style="54" customWidth="1"/>
    <col min="35" max="35" width="8.85546875" style="53" customWidth="1"/>
    <col min="36" max="16384" width="8.85546875" style="53"/>
  </cols>
  <sheetData>
    <row r="1" spans="1:34" ht="22.5" customHeight="1" thickBot="1" x14ac:dyDescent="0.3">
      <c r="A1" s="53"/>
      <c r="C1" s="478" t="s">
        <v>522</v>
      </c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9"/>
      <c r="R1" s="475" t="s">
        <v>523</v>
      </c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60" t="s">
        <v>524</v>
      </c>
      <c r="AG1" s="461"/>
      <c r="AH1" s="461"/>
    </row>
    <row r="2" spans="1:34" s="64" customFormat="1" ht="81.75" customHeight="1" thickBot="1" x14ac:dyDescent="0.3">
      <c r="A2" s="55" t="s">
        <v>527</v>
      </c>
      <c r="B2" s="56" t="s">
        <v>530</v>
      </c>
      <c r="C2" s="55" t="s">
        <v>571</v>
      </c>
      <c r="D2" s="103" t="s">
        <v>572</v>
      </c>
      <c r="E2" s="104" t="s">
        <v>573</v>
      </c>
      <c r="F2" s="105" t="s">
        <v>574</v>
      </c>
      <c r="G2" s="105" t="s">
        <v>535</v>
      </c>
      <c r="H2" s="105" t="s">
        <v>536</v>
      </c>
      <c r="I2" s="105" t="s">
        <v>538</v>
      </c>
      <c r="J2" s="105" t="s">
        <v>539</v>
      </c>
      <c r="K2" s="105" t="s">
        <v>540</v>
      </c>
      <c r="L2" s="105" t="s">
        <v>541</v>
      </c>
      <c r="M2" s="105" t="s">
        <v>542</v>
      </c>
      <c r="N2" s="105" t="s">
        <v>543</v>
      </c>
      <c r="O2" s="105" t="s">
        <v>544</v>
      </c>
      <c r="P2" s="105" t="s">
        <v>545</v>
      </c>
      <c r="Q2" s="105" t="s">
        <v>546</v>
      </c>
      <c r="R2" s="106" t="s">
        <v>571</v>
      </c>
      <c r="S2" s="107" t="s">
        <v>572</v>
      </c>
      <c r="T2" s="60" t="s">
        <v>573</v>
      </c>
      <c r="U2" s="106" t="s">
        <v>574</v>
      </c>
      <c r="V2" s="106" t="s">
        <v>535</v>
      </c>
      <c r="W2" s="106" t="s">
        <v>536</v>
      </c>
      <c r="X2" s="106" t="s">
        <v>538</v>
      </c>
      <c r="Y2" s="106" t="s">
        <v>540</v>
      </c>
      <c r="Z2" s="106" t="s">
        <v>548</v>
      </c>
      <c r="AA2" s="106" t="s">
        <v>563</v>
      </c>
      <c r="AB2" s="106" t="s">
        <v>543</v>
      </c>
      <c r="AC2" s="106" t="s">
        <v>544</v>
      </c>
      <c r="AD2" s="106" t="s">
        <v>545</v>
      </c>
      <c r="AE2" s="106" t="s">
        <v>546</v>
      </c>
      <c r="AF2" s="61" t="s">
        <v>550</v>
      </c>
      <c r="AG2" s="62" t="s">
        <v>551</v>
      </c>
      <c r="AH2" s="63" t="s">
        <v>553</v>
      </c>
    </row>
    <row r="3" spans="1:34" s="64" customFormat="1" x14ac:dyDescent="0.25">
      <c r="A3" s="108" t="e">
        <f>IF(UC_DADOS!$B$2=0,"",UC_DADOS!$B$2)</f>
        <v>#N/A</v>
      </c>
      <c r="B3" s="157"/>
      <c r="C3" s="65"/>
      <c r="D3" s="158"/>
      <c r="E3" s="384"/>
      <c r="F3" s="385"/>
      <c r="G3" s="68"/>
      <c r="H3" s="159">
        <f>C3*0.736*G3</f>
        <v>0</v>
      </c>
      <c r="I3" s="159">
        <f>H3*D3</f>
        <v>0</v>
      </c>
      <c r="J3" s="66"/>
      <c r="K3" s="160">
        <f>J3*L3*M3</f>
        <v>0</v>
      </c>
      <c r="L3" s="66"/>
      <c r="M3" s="66"/>
      <c r="N3" s="66"/>
      <c r="O3" s="161">
        <f>L3*M3*N3/765</f>
        <v>0</v>
      </c>
      <c r="P3" s="161">
        <f>(K3*I3)/1000</f>
        <v>0</v>
      </c>
      <c r="Q3" s="161">
        <f>O3*I3</f>
        <v>0</v>
      </c>
      <c r="R3" s="65"/>
      <c r="S3" s="68"/>
      <c r="T3" s="384"/>
      <c r="U3" s="385"/>
      <c r="V3" s="162">
        <f>G3</f>
        <v>0</v>
      </c>
      <c r="W3" s="162">
        <f>R3*V3*0.736</f>
        <v>0</v>
      </c>
      <c r="X3" s="162">
        <f>W3*S3</f>
        <v>0</v>
      </c>
      <c r="Y3" s="163">
        <f t="shared" ref="Y3:AB58" si="0">K3</f>
        <v>0</v>
      </c>
      <c r="Z3" s="163">
        <f t="shared" si="0"/>
        <v>0</v>
      </c>
      <c r="AA3" s="162">
        <f t="shared" si="0"/>
        <v>0</v>
      </c>
      <c r="AB3" s="163">
        <f t="shared" si="0"/>
        <v>0</v>
      </c>
      <c r="AC3" s="162">
        <f>Z3*AA3*AB3/765</f>
        <v>0</v>
      </c>
      <c r="AD3" s="162">
        <f>(Y3*X3)/1000</f>
        <v>0</v>
      </c>
      <c r="AE3" s="162">
        <f>AC3*X3</f>
        <v>0</v>
      </c>
      <c r="AF3" s="164">
        <f>AE3-Q3</f>
        <v>0</v>
      </c>
      <c r="AG3" s="165">
        <f>P3-AD3</f>
        <v>0</v>
      </c>
      <c r="AH3" s="382">
        <f>AG3/1000</f>
        <v>0</v>
      </c>
    </row>
    <row r="4" spans="1:34" s="64" customFormat="1" x14ac:dyDescent="0.25">
      <c r="A4" s="108" t="e">
        <f>IF(UC_DADOS!$B$2=0,"",UC_DADOS!$B$2)</f>
        <v>#N/A</v>
      </c>
      <c r="B4" s="157"/>
      <c r="C4" s="65"/>
      <c r="D4" s="158"/>
      <c r="E4" s="166"/>
      <c r="F4" s="385"/>
      <c r="G4" s="68"/>
      <c r="H4" s="159">
        <f t="shared" ref="H4:H56" si="1">C4*0.736*G4</f>
        <v>0</v>
      </c>
      <c r="I4" s="159">
        <f t="shared" ref="I4:I56" si="2">H4*D4</f>
        <v>0</v>
      </c>
      <c r="J4" s="66"/>
      <c r="K4" s="160">
        <f t="shared" ref="K4:K56" si="3">J4*L4*M4</f>
        <v>0</v>
      </c>
      <c r="L4" s="66"/>
      <c r="M4" s="66"/>
      <c r="N4" s="66"/>
      <c r="O4" s="161">
        <f t="shared" ref="O4:O56" si="4">L4*M4*N4/765</f>
        <v>0</v>
      </c>
      <c r="P4" s="161">
        <f t="shared" ref="P4:P56" si="5">(K4*I4)/1000</f>
        <v>0</v>
      </c>
      <c r="Q4" s="161">
        <f t="shared" ref="Q4:Q56" si="6">O4*I4</f>
        <v>0</v>
      </c>
      <c r="R4" s="65"/>
      <c r="S4" s="68"/>
      <c r="T4" s="167"/>
      <c r="U4" s="385"/>
      <c r="V4" s="162">
        <f t="shared" ref="V4:V56" si="7">G4</f>
        <v>0</v>
      </c>
      <c r="W4" s="162">
        <f t="shared" ref="W4:W56" si="8">R4*V4*0.736</f>
        <v>0</v>
      </c>
      <c r="X4" s="162">
        <f t="shared" ref="X4:X56" si="9">W4*S4</f>
        <v>0</v>
      </c>
      <c r="Y4" s="163">
        <f t="shared" ref="Y4:Y56" si="10">K4</f>
        <v>0</v>
      </c>
      <c r="Z4" s="163">
        <f t="shared" ref="Z4:Z56" si="11">L4</f>
        <v>0</v>
      </c>
      <c r="AA4" s="162">
        <f t="shared" ref="AA4:AA56" si="12">M4</f>
        <v>0</v>
      </c>
      <c r="AB4" s="163">
        <f t="shared" ref="AB4:AB56" si="13">N4</f>
        <v>0</v>
      </c>
      <c r="AC4" s="162">
        <f t="shared" ref="AC4:AC56" si="14">Z4*AA4*AB4/765</f>
        <v>0</v>
      </c>
      <c r="AD4" s="162">
        <f t="shared" ref="AD4:AD56" si="15">(Y4*X4)/1000</f>
        <v>0</v>
      </c>
      <c r="AE4" s="162">
        <f t="shared" ref="AE4:AE56" si="16">AC4*X4</f>
        <v>0</v>
      </c>
      <c r="AF4" s="164">
        <f t="shared" ref="AF4:AF56" si="17">AE4-Q4</f>
        <v>0</v>
      </c>
      <c r="AG4" s="165">
        <f t="shared" ref="AG4:AG56" si="18">P4-AD4</f>
        <v>0</v>
      </c>
      <c r="AH4" s="382">
        <f t="shared" ref="AH4:AH56" si="19">AG4/1000</f>
        <v>0</v>
      </c>
    </row>
    <row r="5" spans="1:34" s="64" customFormat="1" x14ac:dyDescent="0.25">
      <c r="A5" s="108" t="e">
        <f>IF(UC_DADOS!$B$2=0,"",UC_DADOS!$B$2)</f>
        <v>#N/A</v>
      </c>
      <c r="B5" s="157"/>
      <c r="C5" s="65"/>
      <c r="D5" s="158"/>
      <c r="E5" s="166"/>
      <c r="F5" s="385"/>
      <c r="G5" s="68"/>
      <c r="H5" s="159">
        <f t="shared" si="1"/>
        <v>0</v>
      </c>
      <c r="I5" s="159">
        <f t="shared" si="2"/>
        <v>0</v>
      </c>
      <c r="J5" s="66"/>
      <c r="K5" s="160">
        <f t="shared" si="3"/>
        <v>0</v>
      </c>
      <c r="L5" s="66"/>
      <c r="M5" s="66"/>
      <c r="N5" s="66"/>
      <c r="O5" s="161">
        <f t="shared" si="4"/>
        <v>0</v>
      </c>
      <c r="P5" s="161">
        <f t="shared" si="5"/>
        <v>0</v>
      </c>
      <c r="Q5" s="161">
        <f t="shared" si="6"/>
        <v>0</v>
      </c>
      <c r="R5" s="65"/>
      <c r="S5" s="68"/>
      <c r="T5" s="167"/>
      <c r="U5" s="385"/>
      <c r="V5" s="162">
        <f t="shared" si="7"/>
        <v>0</v>
      </c>
      <c r="W5" s="162">
        <f t="shared" si="8"/>
        <v>0</v>
      </c>
      <c r="X5" s="162">
        <f t="shared" si="9"/>
        <v>0</v>
      </c>
      <c r="Y5" s="163">
        <f t="shared" si="10"/>
        <v>0</v>
      </c>
      <c r="Z5" s="163">
        <f t="shared" si="11"/>
        <v>0</v>
      </c>
      <c r="AA5" s="162">
        <f t="shared" si="12"/>
        <v>0</v>
      </c>
      <c r="AB5" s="163">
        <f t="shared" si="13"/>
        <v>0</v>
      </c>
      <c r="AC5" s="162">
        <f t="shared" si="14"/>
        <v>0</v>
      </c>
      <c r="AD5" s="162">
        <f t="shared" si="15"/>
        <v>0</v>
      </c>
      <c r="AE5" s="162">
        <f t="shared" si="16"/>
        <v>0</v>
      </c>
      <c r="AF5" s="164">
        <f t="shared" si="17"/>
        <v>0</v>
      </c>
      <c r="AG5" s="165">
        <f t="shared" si="18"/>
        <v>0</v>
      </c>
      <c r="AH5" s="382">
        <f t="shared" si="19"/>
        <v>0</v>
      </c>
    </row>
    <row r="6" spans="1:34" s="64" customFormat="1" x14ac:dyDescent="0.25">
      <c r="A6" s="108" t="e">
        <f>IF(UC_DADOS!$B$2=0,"",UC_DADOS!$B$2)</f>
        <v>#N/A</v>
      </c>
      <c r="B6" s="157"/>
      <c r="C6" s="65"/>
      <c r="D6" s="158"/>
      <c r="E6" s="166"/>
      <c r="F6" s="385"/>
      <c r="G6" s="68"/>
      <c r="H6" s="159">
        <f t="shared" si="1"/>
        <v>0</v>
      </c>
      <c r="I6" s="159">
        <f t="shared" si="2"/>
        <v>0</v>
      </c>
      <c r="J6" s="66"/>
      <c r="K6" s="160">
        <f t="shared" si="3"/>
        <v>0</v>
      </c>
      <c r="L6" s="66"/>
      <c r="M6" s="66"/>
      <c r="N6" s="66"/>
      <c r="O6" s="161">
        <f t="shared" si="4"/>
        <v>0</v>
      </c>
      <c r="P6" s="161">
        <f t="shared" si="5"/>
        <v>0</v>
      </c>
      <c r="Q6" s="161">
        <f t="shared" si="6"/>
        <v>0</v>
      </c>
      <c r="R6" s="65"/>
      <c r="S6" s="68"/>
      <c r="T6" s="167"/>
      <c r="U6" s="385"/>
      <c r="V6" s="162">
        <f t="shared" si="7"/>
        <v>0</v>
      </c>
      <c r="W6" s="162">
        <f t="shared" si="8"/>
        <v>0</v>
      </c>
      <c r="X6" s="162">
        <f t="shared" si="9"/>
        <v>0</v>
      </c>
      <c r="Y6" s="163">
        <f t="shared" si="10"/>
        <v>0</v>
      </c>
      <c r="Z6" s="163">
        <f t="shared" si="11"/>
        <v>0</v>
      </c>
      <c r="AA6" s="162">
        <f t="shared" si="12"/>
        <v>0</v>
      </c>
      <c r="AB6" s="163">
        <f t="shared" si="13"/>
        <v>0</v>
      </c>
      <c r="AC6" s="162">
        <f t="shared" si="14"/>
        <v>0</v>
      </c>
      <c r="AD6" s="162">
        <f t="shared" si="15"/>
        <v>0</v>
      </c>
      <c r="AE6" s="162">
        <f t="shared" si="16"/>
        <v>0</v>
      </c>
      <c r="AF6" s="164">
        <f t="shared" si="17"/>
        <v>0</v>
      </c>
      <c r="AG6" s="165">
        <f t="shared" si="18"/>
        <v>0</v>
      </c>
      <c r="AH6" s="382">
        <f t="shared" si="19"/>
        <v>0</v>
      </c>
    </row>
    <row r="7" spans="1:34" s="64" customFormat="1" x14ac:dyDescent="0.25">
      <c r="A7" s="108" t="e">
        <f>IF(UC_DADOS!$B$2=0,"",UC_DADOS!$B$2)</f>
        <v>#N/A</v>
      </c>
      <c r="B7" s="157"/>
      <c r="C7" s="65"/>
      <c r="D7" s="158"/>
      <c r="E7" s="166"/>
      <c r="F7" s="385"/>
      <c r="G7" s="68"/>
      <c r="H7" s="159">
        <f t="shared" si="1"/>
        <v>0</v>
      </c>
      <c r="I7" s="159">
        <f t="shared" si="2"/>
        <v>0</v>
      </c>
      <c r="J7" s="66"/>
      <c r="K7" s="160">
        <f t="shared" si="3"/>
        <v>0</v>
      </c>
      <c r="L7" s="66"/>
      <c r="M7" s="66"/>
      <c r="N7" s="66"/>
      <c r="O7" s="161">
        <f t="shared" si="4"/>
        <v>0</v>
      </c>
      <c r="P7" s="161">
        <f t="shared" si="5"/>
        <v>0</v>
      </c>
      <c r="Q7" s="161">
        <f t="shared" si="6"/>
        <v>0</v>
      </c>
      <c r="R7" s="65"/>
      <c r="S7" s="68"/>
      <c r="T7" s="167"/>
      <c r="U7" s="385"/>
      <c r="V7" s="162">
        <f t="shared" si="7"/>
        <v>0</v>
      </c>
      <c r="W7" s="162">
        <f t="shared" si="8"/>
        <v>0</v>
      </c>
      <c r="X7" s="162">
        <f t="shared" si="9"/>
        <v>0</v>
      </c>
      <c r="Y7" s="163">
        <f t="shared" si="10"/>
        <v>0</v>
      </c>
      <c r="Z7" s="163">
        <f t="shared" si="11"/>
        <v>0</v>
      </c>
      <c r="AA7" s="162">
        <f t="shared" si="12"/>
        <v>0</v>
      </c>
      <c r="AB7" s="163">
        <f t="shared" si="13"/>
        <v>0</v>
      </c>
      <c r="AC7" s="162">
        <f t="shared" si="14"/>
        <v>0</v>
      </c>
      <c r="AD7" s="162">
        <f t="shared" si="15"/>
        <v>0</v>
      </c>
      <c r="AE7" s="162">
        <f t="shared" si="16"/>
        <v>0</v>
      </c>
      <c r="AF7" s="164">
        <f t="shared" si="17"/>
        <v>0</v>
      </c>
      <c r="AG7" s="165">
        <f t="shared" si="18"/>
        <v>0</v>
      </c>
      <c r="AH7" s="382">
        <f t="shared" si="19"/>
        <v>0</v>
      </c>
    </row>
    <row r="8" spans="1:34" s="64" customFormat="1" x14ac:dyDescent="0.25">
      <c r="A8" s="108" t="e">
        <f>IF(UC_DADOS!$B$2=0,"",UC_DADOS!$B$2)</f>
        <v>#N/A</v>
      </c>
      <c r="B8" s="157"/>
      <c r="C8" s="65"/>
      <c r="D8" s="158"/>
      <c r="E8" s="166"/>
      <c r="F8" s="385"/>
      <c r="G8" s="68"/>
      <c r="H8" s="159">
        <f t="shared" si="1"/>
        <v>0</v>
      </c>
      <c r="I8" s="159">
        <f t="shared" si="2"/>
        <v>0</v>
      </c>
      <c r="J8" s="66"/>
      <c r="K8" s="160">
        <f t="shared" si="3"/>
        <v>0</v>
      </c>
      <c r="L8" s="66"/>
      <c r="M8" s="66"/>
      <c r="N8" s="66"/>
      <c r="O8" s="161">
        <f t="shared" si="4"/>
        <v>0</v>
      </c>
      <c r="P8" s="161">
        <f t="shared" si="5"/>
        <v>0</v>
      </c>
      <c r="Q8" s="161">
        <f t="shared" si="6"/>
        <v>0</v>
      </c>
      <c r="R8" s="65"/>
      <c r="S8" s="68"/>
      <c r="T8" s="167"/>
      <c r="U8" s="385"/>
      <c r="V8" s="162">
        <f t="shared" si="7"/>
        <v>0</v>
      </c>
      <c r="W8" s="162">
        <f t="shared" si="8"/>
        <v>0</v>
      </c>
      <c r="X8" s="162">
        <f t="shared" si="9"/>
        <v>0</v>
      </c>
      <c r="Y8" s="163">
        <f t="shared" si="10"/>
        <v>0</v>
      </c>
      <c r="Z8" s="163">
        <f t="shared" si="11"/>
        <v>0</v>
      </c>
      <c r="AA8" s="162">
        <f t="shared" si="12"/>
        <v>0</v>
      </c>
      <c r="AB8" s="163">
        <f t="shared" si="13"/>
        <v>0</v>
      </c>
      <c r="AC8" s="162">
        <f t="shared" si="14"/>
        <v>0</v>
      </c>
      <c r="AD8" s="162">
        <f t="shared" si="15"/>
        <v>0</v>
      </c>
      <c r="AE8" s="162">
        <f t="shared" si="16"/>
        <v>0</v>
      </c>
      <c r="AF8" s="164">
        <f t="shared" si="17"/>
        <v>0</v>
      </c>
      <c r="AG8" s="165">
        <f t="shared" si="18"/>
        <v>0</v>
      </c>
      <c r="AH8" s="382">
        <f t="shared" si="19"/>
        <v>0</v>
      </c>
    </row>
    <row r="9" spans="1:34" s="64" customFormat="1" x14ac:dyDescent="0.25">
      <c r="A9" s="108" t="e">
        <f>IF(UC_DADOS!$B$2=0,"",UC_DADOS!$B$2)</f>
        <v>#N/A</v>
      </c>
      <c r="B9" s="157"/>
      <c r="C9" s="65"/>
      <c r="D9" s="158"/>
      <c r="E9" s="166"/>
      <c r="F9" s="385"/>
      <c r="G9" s="68"/>
      <c r="H9" s="159">
        <f t="shared" si="1"/>
        <v>0</v>
      </c>
      <c r="I9" s="159">
        <f t="shared" si="2"/>
        <v>0</v>
      </c>
      <c r="J9" s="66"/>
      <c r="K9" s="160">
        <f t="shared" si="3"/>
        <v>0</v>
      </c>
      <c r="L9" s="66"/>
      <c r="M9" s="66"/>
      <c r="N9" s="66"/>
      <c r="O9" s="161">
        <f t="shared" si="4"/>
        <v>0</v>
      </c>
      <c r="P9" s="161">
        <f t="shared" si="5"/>
        <v>0</v>
      </c>
      <c r="Q9" s="161">
        <f t="shared" si="6"/>
        <v>0</v>
      </c>
      <c r="R9" s="65"/>
      <c r="S9" s="68"/>
      <c r="T9" s="167"/>
      <c r="U9" s="385"/>
      <c r="V9" s="162">
        <f t="shared" si="7"/>
        <v>0</v>
      </c>
      <c r="W9" s="162">
        <f t="shared" si="8"/>
        <v>0</v>
      </c>
      <c r="X9" s="162">
        <f t="shared" si="9"/>
        <v>0</v>
      </c>
      <c r="Y9" s="163">
        <f t="shared" si="10"/>
        <v>0</v>
      </c>
      <c r="Z9" s="163">
        <f t="shared" si="11"/>
        <v>0</v>
      </c>
      <c r="AA9" s="162">
        <f t="shared" si="12"/>
        <v>0</v>
      </c>
      <c r="AB9" s="163">
        <f t="shared" si="13"/>
        <v>0</v>
      </c>
      <c r="AC9" s="162">
        <f t="shared" si="14"/>
        <v>0</v>
      </c>
      <c r="AD9" s="162">
        <f t="shared" si="15"/>
        <v>0</v>
      </c>
      <c r="AE9" s="162">
        <f t="shared" si="16"/>
        <v>0</v>
      </c>
      <c r="AF9" s="164">
        <f t="shared" si="17"/>
        <v>0</v>
      </c>
      <c r="AG9" s="165">
        <f t="shared" si="18"/>
        <v>0</v>
      </c>
      <c r="AH9" s="382">
        <f t="shared" si="19"/>
        <v>0</v>
      </c>
    </row>
    <row r="10" spans="1:34" s="64" customFormat="1" x14ac:dyDescent="0.25">
      <c r="A10" s="108" t="e">
        <f>IF(UC_DADOS!$B$2=0,"",UC_DADOS!$B$2)</f>
        <v>#N/A</v>
      </c>
      <c r="B10" s="157"/>
      <c r="C10" s="65"/>
      <c r="D10" s="158"/>
      <c r="E10" s="166"/>
      <c r="F10" s="385"/>
      <c r="G10" s="68"/>
      <c r="H10" s="159">
        <f t="shared" si="1"/>
        <v>0</v>
      </c>
      <c r="I10" s="159">
        <f t="shared" si="2"/>
        <v>0</v>
      </c>
      <c r="J10" s="66"/>
      <c r="K10" s="160">
        <f t="shared" si="3"/>
        <v>0</v>
      </c>
      <c r="L10" s="66"/>
      <c r="M10" s="66"/>
      <c r="N10" s="66"/>
      <c r="O10" s="161">
        <f t="shared" si="4"/>
        <v>0</v>
      </c>
      <c r="P10" s="161">
        <f t="shared" si="5"/>
        <v>0</v>
      </c>
      <c r="Q10" s="161">
        <f t="shared" si="6"/>
        <v>0</v>
      </c>
      <c r="R10" s="65"/>
      <c r="S10" s="68"/>
      <c r="T10" s="167"/>
      <c r="U10" s="385"/>
      <c r="V10" s="162">
        <f t="shared" si="7"/>
        <v>0</v>
      </c>
      <c r="W10" s="162">
        <f t="shared" si="8"/>
        <v>0</v>
      </c>
      <c r="X10" s="162">
        <f t="shared" si="9"/>
        <v>0</v>
      </c>
      <c r="Y10" s="163">
        <f t="shared" si="10"/>
        <v>0</v>
      </c>
      <c r="Z10" s="163">
        <f t="shared" si="11"/>
        <v>0</v>
      </c>
      <c r="AA10" s="162">
        <f t="shared" si="12"/>
        <v>0</v>
      </c>
      <c r="AB10" s="163">
        <f t="shared" si="13"/>
        <v>0</v>
      </c>
      <c r="AC10" s="162">
        <f t="shared" si="14"/>
        <v>0</v>
      </c>
      <c r="AD10" s="162">
        <f t="shared" si="15"/>
        <v>0</v>
      </c>
      <c r="AE10" s="162">
        <f t="shared" si="16"/>
        <v>0</v>
      </c>
      <c r="AF10" s="164">
        <f t="shared" si="17"/>
        <v>0</v>
      </c>
      <c r="AG10" s="165">
        <f t="shared" si="18"/>
        <v>0</v>
      </c>
      <c r="AH10" s="382">
        <f t="shared" si="19"/>
        <v>0</v>
      </c>
    </row>
    <row r="11" spans="1:34" s="64" customFormat="1" x14ac:dyDescent="0.25">
      <c r="A11" s="108" t="e">
        <f>IF(UC_DADOS!$B$2=0,"",UC_DADOS!$B$2)</f>
        <v>#N/A</v>
      </c>
      <c r="B11" s="157"/>
      <c r="C11" s="65"/>
      <c r="D11" s="158"/>
      <c r="E11" s="166"/>
      <c r="F11" s="385"/>
      <c r="G11" s="68"/>
      <c r="H11" s="159">
        <f t="shared" si="1"/>
        <v>0</v>
      </c>
      <c r="I11" s="159">
        <f t="shared" si="2"/>
        <v>0</v>
      </c>
      <c r="J11" s="66"/>
      <c r="K11" s="160">
        <f t="shared" si="3"/>
        <v>0</v>
      </c>
      <c r="L11" s="66"/>
      <c r="M11" s="66"/>
      <c r="N11" s="66"/>
      <c r="O11" s="161">
        <f t="shared" si="4"/>
        <v>0</v>
      </c>
      <c r="P11" s="161">
        <f t="shared" si="5"/>
        <v>0</v>
      </c>
      <c r="Q11" s="161">
        <f t="shared" si="6"/>
        <v>0</v>
      </c>
      <c r="R11" s="65"/>
      <c r="S11" s="68"/>
      <c r="T11" s="167"/>
      <c r="U11" s="385"/>
      <c r="V11" s="162">
        <f t="shared" si="7"/>
        <v>0</v>
      </c>
      <c r="W11" s="162">
        <f t="shared" si="8"/>
        <v>0</v>
      </c>
      <c r="X11" s="162">
        <f t="shared" si="9"/>
        <v>0</v>
      </c>
      <c r="Y11" s="163">
        <f t="shared" si="10"/>
        <v>0</v>
      </c>
      <c r="Z11" s="163">
        <f t="shared" si="11"/>
        <v>0</v>
      </c>
      <c r="AA11" s="162">
        <f t="shared" si="12"/>
        <v>0</v>
      </c>
      <c r="AB11" s="163">
        <f t="shared" si="13"/>
        <v>0</v>
      </c>
      <c r="AC11" s="162">
        <f t="shared" si="14"/>
        <v>0</v>
      </c>
      <c r="AD11" s="162">
        <f t="shared" si="15"/>
        <v>0</v>
      </c>
      <c r="AE11" s="162">
        <f t="shared" si="16"/>
        <v>0</v>
      </c>
      <c r="AF11" s="164">
        <f t="shared" si="17"/>
        <v>0</v>
      </c>
      <c r="AG11" s="165">
        <f t="shared" si="18"/>
        <v>0</v>
      </c>
      <c r="AH11" s="382">
        <f t="shared" si="19"/>
        <v>0</v>
      </c>
    </row>
    <row r="12" spans="1:34" s="64" customFormat="1" x14ac:dyDescent="0.25">
      <c r="A12" s="108" t="e">
        <f>IF(UC_DADOS!$B$2=0,"",UC_DADOS!$B$2)</f>
        <v>#N/A</v>
      </c>
      <c r="B12" s="157"/>
      <c r="C12" s="65"/>
      <c r="D12" s="158"/>
      <c r="E12" s="166"/>
      <c r="F12" s="385"/>
      <c r="G12" s="68"/>
      <c r="H12" s="159">
        <f t="shared" si="1"/>
        <v>0</v>
      </c>
      <c r="I12" s="159">
        <f t="shared" si="2"/>
        <v>0</v>
      </c>
      <c r="J12" s="66"/>
      <c r="K12" s="160">
        <f t="shared" si="3"/>
        <v>0</v>
      </c>
      <c r="L12" s="66"/>
      <c r="M12" s="66"/>
      <c r="N12" s="66"/>
      <c r="O12" s="161">
        <f t="shared" si="4"/>
        <v>0</v>
      </c>
      <c r="P12" s="161">
        <f t="shared" si="5"/>
        <v>0</v>
      </c>
      <c r="Q12" s="161">
        <f t="shared" si="6"/>
        <v>0</v>
      </c>
      <c r="R12" s="65"/>
      <c r="S12" s="68"/>
      <c r="T12" s="167"/>
      <c r="U12" s="385"/>
      <c r="V12" s="162">
        <f t="shared" si="7"/>
        <v>0</v>
      </c>
      <c r="W12" s="162">
        <f t="shared" si="8"/>
        <v>0</v>
      </c>
      <c r="X12" s="162">
        <f t="shared" si="9"/>
        <v>0</v>
      </c>
      <c r="Y12" s="163">
        <f t="shared" si="10"/>
        <v>0</v>
      </c>
      <c r="Z12" s="163">
        <f t="shared" si="11"/>
        <v>0</v>
      </c>
      <c r="AA12" s="162">
        <f t="shared" si="12"/>
        <v>0</v>
      </c>
      <c r="AB12" s="163">
        <f t="shared" si="13"/>
        <v>0</v>
      </c>
      <c r="AC12" s="162">
        <f t="shared" si="14"/>
        <v>0</v>
      </c>
      <c r="AD12" s="162">
        <f t="shared" si="15"/>
        <v>0</v>
      </c>
      <c r="AE12" s="162">
        <f t="shared" si="16"/>
        <v>0</v>
      </c>
      <c r="AF12" s="164">
        <f t="shared" si="17"/>
        <v>0</v>
      </c>
      <c r="AG12" s="165">
        <f t="shared" si="18"/>
        <v>0</v>
      </c>
      <c r="AH12" s="382">
        <f t="shared" si="19"/>
        <v>0</v>
      </c>
    </row>
    <row r="13" spans="1:34" s="64" customFormat="1" x14ac:dyDescent="0.25">
      <c r="A13" s="108" t="e">
        <f>IF(UC_DADOS!$B$2=0,"",UC_DADOS!$B$2)</f>
        <v>#N/A</v>
      </c>
      <c r="B13" s="157"/>
      <c r="C13" s="65"/>
      <c r="D13" s="158"/>
      <c r="E13" s="166"/>
      <c r="F13" s="385"/>
      <c r="G13" s="68"/>
      <c r="H13" s="159">
        <f t="shared" si="1"/>
        <v>0</v>
      </c>
      <c r="I13" s="159">
        <f t="shared" si="2"/>
        <v>0</v>
      </c>
      <c r="J13" s="66"/>
      <c r="K13" s="160">
        <f t="shared" si="3"/>
        <v>0</v>
      </c>
      <c r="L13" s="66"/>
      <c r="M13" s="66"/>
      <c r="N13" s="66"/>
      <c r="O13" s="161">
        <f t="shared" si="4"/>
        <v>0</v>
      </c>
      <c r="P13" s="161">
        <f t="shared" si="5"/>
        <v>0</v>
      </c>
      <c r="Q13" s="161">
        <f t="shared" si="6"/>
        <v>0</v>
      </c>
      <c r="R13" s="65"/>
      <c r="S13" s="68"/>
      <c r="T13" s="167"/>
      <c r="U13" s="385"/>
      <c r="V13" s="162">
        <f t="shared" si="7"/>
        <v>0</v>
      </c>
      <c r="W13" s="162">
        <f t="shared" si="8"/>
        <v>0</v>
      </c>
      <c r="X13" s="162">
        <f t="shared" si="9"/>
        <v>0</v>
      </c>
      <c r="Y13" s="163">
        <f t="shared" si="10"/>
        <v>0</v>
      </c>
      <c r="Z13" s="163">
        <f t="shared" si="11"/>
        <v>0</v>
      </c>
      <c r="AA13" s="162">
        <f t="shared" si="12"/>
        <v>0</v>
      </c>
      <c r="AB13" s="163">
        <f t="shared" si="13"/>
        <v>0</v>
      </c>
      <c r="AC13" s="162">
        <f t="shared" si="14"/>
        <v>0</v>
      </c>
      <c r="AD13" s="162">
        <f t="shared" si="15"/>
        <v>0</v>
      </c>
      <c r="AE13" s="162">
        <f t="shared" si="16"/>
        <v>0</v>
      </c>
      <c r="AF13" s="164">
        <f t="shared" si="17"/>
        <v>0</v>
      </c>
      <c r="AG13" s="165">
        <f t="shared" si="18"/>
        <v>0</v>
      </c>
      <c r="AH13" s="382">
        <f t="shared" si="19"/>
        <v>0</v>
      </c>
    </row>
    <row r="14" spans="1:34" s="64" customFormat="1" x14ac:dyDescent="0.25">
      <c r="A14" s="108" t="e">
        <f>IF(UC_DADOS!$B$2=0,"",UC_DADOS!$B$2)</f>
        <v>#N/A</v>
      </c>
      <c r="B14" s="157"/>
      <c r="C14" s="65"/>
      <c r="D14" s="158"/>
      <c r="E14" s="166"/>
      <c r="F14" s="385"/>
      <c r="G14" s="68"/>
      <c r="H14" s="159">
        <f t="shared" si="1"/>
        <v>0</v>
      </c>
      <c r="I14" s="159">
        <f t="shared" si="2"/>
        <v>0</v>
      </c>
      <c r="J14" s="66"/>
      <c r="K14" s="160">
        <f t="shared" si="3"/>
        <v>0</v>
      </c>
      <c r="L14" s="66"/>
      <c r="M14" s="66"/>
      <c r="N14" s="66"/>
      <c r="O14" s="161">
        <f t="shared" si="4"/>
        <v>0</v>
      </c>
      <c r="P14" s="161">
        <f t="shared" si="5"/>
        <v>0</v>
      </c>
      <c r="Q14" s="161">
        <f t="shared" si="6"/>
        <v>0</v>
      </c>
      <c r="R14" s="65"/>
      <c r="S14" s="68"/>
      <c r="T14" s="167"/>
      <c r="U14" s="385"/>
      <c r="V14" s="162">
        <f t="shared" si="7"/>
        <v>0</v>
      </c>
      <c r="W14" s="162">
        <f t="shared" si="8"/>
        <v>0</v>
      </c>
      <c r="X14" s="162">
        <f t="shared" si="9"/>
        <v>0</v>
      </c>
      <c r="Y14" s="163">
        <f t="shared" si="10"/>
        <v>0</v>
      </c>
      <c r="Z14" s="163">
        <f t="shared" si="11"/>
        <v>0</v>
      </c>
      <c r="AA14" s="162">
        <f t="shared" si="12"/>
        <v>0</v>
      </c>
      <c r="AB14" s="163">
        <f t="shared" si="13"/>
        <v>0</v>
      </c>
      <c r="AC14" s="162">
        <f t="shared" si="14"/>
        <v>0</v>
      </c>
      <c r="AD14" s="162">
        <f t="shared" si="15"/>
        <v>0</v>
      </c>
      <c r="AE14" s="162">
        <f t="shared" si="16"/>
        <v>0</v>
      </c>
      <c r="AF14" s="164">
        <f t="shared" si="17"/>
        <v>0</v>
      </c>
      <c r="AG14" s="165">
        <f t="shared" si="18"/>
        <v>0</v>
      </c>
      <c r="AH14" s="382">
        <f t="shared" si="19"/>
        <v>0</v>
      </c>
    </row>
    <row r="15" spans="1:34" s="64" customFormat="1" x14ac:dyDescent="0.25">
      <c r="A15" s="108" t="e">
        <f>IF(UC_DADOS!$B$2=0,"",UC_DADOS!$B$2)</f>
        <v>#N/A</v>
      </c>
      <c r="B15" s="157"/>
      <c r="C15" s="65"/>
      <c r="D15" s="158"/>
      <c r="E15" s="166"/>
      <c r="F15" s="385"/>
      <c r="G15" s="68"/>
      <c r="H15" s="159">
        <f t="shared" si="1"/>
        <v>0</v>
      </c>
      <c r="I15" s="159">
        <f t="shared" si="2"/>
        <v>0</v>
      </c>
      <c r="J15" s="66"/>
      <c r="K15" s="160">
        <f t="shared" si="3"/>
        <v>0</v>
      </c>
      <c r="L15" s="66"/>
      <c r="M15" s="66"/>
      <c r="N15" s="66"/>
      <c r="O15" s="161">
        <f t="shared" si="4"/>
        <v>0</v>
      </c>
      <c r="P15" s="161">
        <f t="shared" si="5"/>
        <v>0</v>
      </c>
      <c r="Q15" s="161">
        <f t="shared" si="6"/>
        <v>0</v>
      </c>
      <c r="R15" s="65"/>
      <c r="S15" s="68"/>
      <c r="T15" s="167"/>
      <c r="U15" s="385"/>
      <c r="V15" s="162">
        <f t="shared" si="7"/>
        <v>0</v>
      </c>
      <c r="W15" s="162">
        <f t="shared" si="8"/>
        <v>0</v>
      </c>
      <c r="X15" s="162">
        <f t="shared" si="9"/>
        <v>0</v>
      </c>
      <c r="Y15" s="163">
        <f t="shared" si="10"/>
        <v>0</v>
      </c>
      <c r="Z15" s="163">
        <f t="shared" si="11"/>
        <v>0</v>
      </c>
      <c r="AA15" s="162">
        <f t="shared" si="12"/>
        <v>0</v>
      </c>
      <c r="AB15" s="163">
        <f t="shared" si="13"/>
        <v>0</v>
      </c>
      <c r="AC15" s="162">
        <f t="shared" si="14"/>
        <v>0</v>
      </c>
      <c r="AD15" s="162">
        <f t="shared" si="15"/>
        <v>0</v>
      </c>
      <c r="AE15" s="162">
        <f t="shared" si="16"/>
        <v>0</v>
      </c>
      <c r="AF15" s="164">
        <f t="shared" si="17"/>
        <v>0</v>
      </c>
      <c r="AG15" s="165">
        <f t="shared" si="18"/>
        <v>0</v>
      </c>
      <c r="AH15" s="382">
        <f t="shared" si="19"/>
        <v>0</v>
      </c>
    </row>
    <row r="16" spans="1:34" s="64" customFormat="1" x14ac:dyDescent="0.25">
      <c r="A16" s="108" t="e">
        <f>IF(UC_DADOS!$B$2=0,"",UC_DADOS!$B$2)</f>
        <v>#N/A</v>
      </c>
      <c r="B16" s="157"/>
      <c r="C16" s="65"/>
      <c r="D16" s="158"/>
      <c r="E16" s="166"/>
      <c r="F16" s="385"/>
      <c r="G16" s="68"/>
      <c r="H16" s="159">
        <f t="shared" si="1"/>
        <v>0</v>
      </c>
      <c r="I16" s="159">
        <f t="shared" si="2"/>
        <v>0</v>
      </c>
      <c r="J16" s="66"/>
      <c r="K16" s="160">
        <f t="shared" si="3"/>
        <v>0</v>
      </c>
      <c r="L16" s="66"/>
      <c r="M16" s="66"/>
      <c r="N16" s="66"/>
      <c r="O16" s="161">
        <f t="shared" si="4"/>
        <v>0</v>
      </c>
      <c r="P16" s="161">
        <f t="shared" si="5"/>
        <v>0</v>
      </c>
      <c r="Q16" s="161">
        <f t="shared" si="6"/>
        <v>0</v>
      </c>
      <c r="R16" s="65"/>
      <c r="S16" s="68"/>
      <c r="T16" s="167"/>
      <c r="U16" s="385"/>
      <c r="V16" s="162">
        <f t="shared" si="7"/>
        <v>0</v>
      </c>
      <c r="W16" s="162">
        <f t="shared" si="8"/>
        <v>0</v>
      </c>
      <c r="X16" s="162">
        <f t="shared" si="9"/>
        <v>0</v>
      </c>
      <c r="Y16" s="163">
        <f t="shared" si="10"/>
        <v>0</v>
      </c>
      <c r="Z16" s="163">
        <f t="shared" si="11"/>
        <v>0</v>
      </c>
      <c r="AA16" s="162">
        <f t="shared" si="12"/>
        <v>0</v>
      </c>
      <c r="AB16" s="163">
        <f t="shared" si="13"/>
        <v>0</v>
      </c>
      <c r="AC16" s="162">
        <f t="shared" si="14"/>
        <v>0</v>
      </c>
      <c r="AD16" s="162">
        <f t="shared" si="15"/>
        <v>0</v>
      </c>
      <c r="AE16" s="162">
        <f t="shared" si="16"/>
        <v>0</v>
      </c>
      <c r="AF16" s="164">
        <f t="shared" si="17"/>
        <v>0</v>
      </c>
      <c r="AG16" s="165">
        <f t="shared" si="18"/>
        <v>0</v>
      </c>
      <c r="AH16" s="382">
        <f t="shared" si="19"/>
        <v>0</v>
      </c>
    </row>
    <row r="17" spans="1:34" s="64" customFormat="1" x14ac:dyDescent="0.25">
      <c r="A17" s="108" t="e">
        <f>IF(UC_DADOS!$B$2=0,"",UC_DADOS!$B$2)</f>
        <v>#N/A</v>
      </c>
      <c r="B17" s="157"/>
      <c r="C17" s="65"/>
      <c r="D17" s="158"/>
      <c r="E17" s="166"/>
      <c r="F17" s="385"/>
      <c r="G17" s="68"/>
      <c r="H17" s="159">
        <f t="shared" si="1"/>
        <v>0</v>
      </c>
      <c r="I17" s="159">
        <f t="shared" si="2"/>
        <v>0</v>
      </c>
      <c r="J17" s="66"/>
      <c r="K17" s="160">
        <f t="shared" si="3"/>
        <v>0</v>
      </c>
      <c r="L17" s="66"/>
      <c r="M17" s="66"/>
      <c r="N17" s="66"/>
      <c r="O17" s="161">
        <f t="shared" si="4"/>
        <v>0</v>
      </c>
      <c r="P17" s="161">
        <f t="shared" si="5"/>
        <v>0</v>
      </c>
      <c r="Q17" s="161">
        <f t="shared" si="6"/>
        <v>0</v>
      </c>
      <c r="R17" s="65"/>
      <c r="S17" s="68"/>
      <c r="T17" s="167"/>
      <c r="U17" s="385"/>
      <c r="V17" s="162">
        <f t="shared" si="7"/>
        <v>0</v>
      </c>
      <c r="W17" s="162">
        <f t="shared" si="8"/>
        <v>0</v>
      </c>
      <c r="X17" s="162">
        <f t="shared" si="9"/>
        <v>0</v>
      </c>
      <c r="Y17" s="163">
        <f t="shared" si="10"/>
        <v>0</v>
      </c>
      <c r="Z17" s="163">
        <f t="shared" si="11"/>
        <v>0</v>
      </c>
      <c r="AA17" s="162">
        <f t="shared" si="12"/>
        <v>0</v>
      </c>
      <c r="AB17" s="163">
        <f t="shared" si="13"/>
        <v>0</v>
      </c>
      <c r="AC17" s="162">
        <f t="shared" si="14"/>
        <v>0</v>
      </c>
      <c r="AD17" s="162">
        <f t="shared" si="15"/>
        <v>0</v>
      </c>
      <c r="AE17" s="162">
        <f t="shared" si="16"/>
        <v>0</v>
      </c>
      <c r="AF17" s="164">
        <f t="shared" si="17"/>
        <v>0</v>
      </c>
      <c r="AG17" s="165">
        <f t="shared" si="18"/>
        <v>0</v>
      </c>
      <c r="AH17" s="382">
        <f t="shared" si="19"/>
        <v>0</v>
      </c>
    </row>
    <row r="18" spans="1:34" s="64" customFormat="1" x14ac:dyDescent="0.25">
      <c r="A18" s="108" t="e">
        <f>IF(UC_DADOS!$B$2=0,"",UC_DADOS!$B$2)</f>
        <v>#N/A</v>
      </c>
      <c r="B18" s="157"/>
      <c r="C18" s="65"/>
      <c r="D18" s="158"/>
      <c r="E18" s="166"/>
      <c r="F18" s="385"/>
      <c r="G18" s="68"/>
      <c r="H18" s="159">
        <f t="shared" si="1"/>
        <v>0</v>
      </c>
      <c r="I18" s="159">
        <f t="shared" si="2"/>
        <v>0</v>
      </c>
      <c r="J18" s="66"/>
      <c r="K18" s="160">
        <f t="shared" si="3"/>
        <v>0</v>
      </c>
      <c r="L18" s="66"/>
      <c r="M18" s="66"/>
      <c r="N18" s="66"/>
      <c r="O18" s="161">
        <f t="shared" si="4"/>
        <v>0</v>
      </c>
      <c r="P18" s="161">
        <f t="shared" si="5"/>
        <v>0</v>
      </c>
      <c r="Q18" s="161">
        <f t="shared" si="6"/>
        <v>0</v>
      </c>
      <c r="R18" s="65"/>
      <c r="S18" s="68"/>
      <c r="T18" s="167"/>
      <c r="U18" s="385"/>
      <c r="V18" s="162">
        <f t="shared" si="7"/>
        <v>0</v>
      </c>
      <c r="W18" s="162">
        <f t="shared" si="8"/>
        <v>0</v>
      </c>
      <c r="X18" s="162">
        <f t="shared" si="9"/>
        <v>0</v>
      </c>
      <c r="Y18" s="163">
        <f t="shared" si="10"/>
        <v>0</v>
      </c>
      <c r="Z18" s="163">
        <f t="shared" si="11"/>
        <v>0</v>
      </c>
      <c r="AA18" s="162">
        <f t="shared" si="12"/>
        <v>0</v>
      </c>
      <c r="AB18" s="163">
        <f t="shared" si="13"/>
        <v>0</v>
      </c>
      <c r="AC18" s="162">
        <f t="shared" si="14"/>
        <v>0</v>
      </c>
      <c r="AD18" s="162">
        <f t="shared" si="15"/>
        <v>0</v>
      </c>
      <c r="AE18" s="162">
        <f t="shared" si="16"/>
        <v>0</v>
      </c>
      <c r="AF18" s="164">
        <f t="shared" si="17"/>
        <v>0</v>
      </c>
      <c r="AG18" s="165">
        <f t="shared" si="18"/>
        <v>0</v>
      </c>
      <c r="AH18" s="382">
        <f t="shared" si="19"/>
        <v>0</v>
      </c>
    </row>
    <row r="19" spans="1:34" s="64" customFormat="1" x14ac:dyDescent="0.25">
      <c r="A19" s="108" t="e">
        <f>IF(UC_DADOS!$B$2=0,"",UC_DADOS!$B$2)</f>
        <v>#N/A</v>
      </c>
      <c r="B19" s="157"/>
      <c r="C19" s="65"/>
      <c r="D19" s="158"/>
      <c r="E19" s="166"/>
      <c r="F19" s="385"/>
      <c r="G19" s="68"/>
      <c r="H19" s="159">
        <f t="shared" si="1"/>
        <v>0</v>
      </c>
      <c r="I19" s="159">
        <f t="shared" si="2"/>
        <v>0</v>
      </c>
      <c r="J19" s="66"/>
      <c r="K19" s="160">
        <f t="shared" si="3"/>
        <v>0</v>
      </c>
      <c r="L19" s="66"/>
      <c r="M19" s="66"/>
      <c r="N19" s="66"/>
      <c r="O19" s="161">
        <f t="shared" si="4"/>
        <v>0</v>
      </c>
      <c r="P19" s="161">
        <f t="shared" si="5"/>
        <v>0</v>
      </c>
      <c r="Q19" s="161">
        <f t="shared" si="6"/>
        <v>0</v>
      </c>
      <c r="R19" s="65"/>
      <c r="S19" s="68"/>
      <c r="T19" s="167"/>
      <c r="U19" s="385"/>
      <c r="V19" s="162">
        <f t="shared" si="7"/>
        <v>0</v>
      </c>
      <c r="W19" s="162">
        <f t="shared" si="8"/>
        <v>0</v>
      </c>
      <c r="X19" s="162">
        <f t="shared" si="9"/>
        <v>0</v>
      </c>
      <c r="Y19" s="163">
        <f t="shared" si="10"/>
        <v>0</v>
      </c>
      <c r="Z19" s="163">
        <f t="shared" si="11"/>
        <v>0</v>
      </c>
      <c r="AA19" s="162">
        <f t="shared" si="12"/>
        <v>0</v>
      </c>
      <c r="AB19" s="163">
        <f t="shared" si="13"/>
        <v>0</v>
      </c>
      <c r="AC19" s="162">
        <f t="shared" si="14"/>
        <v>0</v>
      </c>
      <c r="AD19" s="162">
        <f t="shared" si="15"/>
        <v>0</v>
      </c>
      <c r="AE19" s="162">
        <f t="shared" si="16"/>
        <v>0</v>
      </c>
      <c r="AF19" s="164">
        <f t="shared" si="17"/>
        <v>0</v>
      </c>
      <c r="AG19" s="165">
        <f t="shared" si="18"/>
        <v>0</v>
      </c>
      <c r="AH19" s="382">
        <f t="shared" si="19"/>
        <v>0</v>
      </c>
    </row>
    <row r="20" spans="1:34" s="64" customFormat="1" x14ac:dyDescent="0.25">
      <c r="A20" s="108" t="e">
        <f>IF(UC_DADOS!$B$2=0,"",UC_DADOS!$B$2)</f>
        <v>#N/A</v>
      </c>
      <c r="B20" s="157"/>
      <c r="C20" s="65"/>
      <c r="D20" s="158"/>
      <c r="E20" s="166"/>
      <c r="F20" s="385"/>
      <c r="G20" s="68"/>
      <c r="H20" s="159">
        <f t="shared" si="1"/>
        <v>0</v>
      </c>
      <c r="I20" s="159">
        <f t="shared" si="2"/>
        <v>0</v>
      </c>
      <c r="J20" s="66"/>
      <c r="K20" s="160">
        <f t="shared" si="3"/>
        <v>0</v>
      </c>
      <c r="L20" s="66"/>
      <c r="M20" s="66"/>
      <c r="N20" s="66"/>
      <c r="O20" s="161">
        <f t="shared" si="4"/>
        <v>0</v>
      </c>
      <c r="P20" s="161">
        <f t="shared" si="5"/>
        <v>0</v>
      </c>
      <c r="Q20" s="161">
        <f t="shared" si="6"/>
        <v>0</v>
      </c>
      <c r="R20" s="65"/>
      <c r="S20" s="68"/>
      <c r="T20" s="167"/>
      <c r="U20" s="385"/>
      <c r="V20" s="162">
        <f t="shared" si="7"/>
        <v>0</v>
      </c>
      <c r="W20" s="162">
        <f t="shared" si="8"/>
        <v>0</v>
      </c>
      <c r="X20" s="162">
        <f t="shared" si="9"/>
        <v>0</v>
      </c>
      <c r="Y20" s="163">
        <f t="shared" si="10"/>
        <v>0</v>
      </c>
      <c r="Z20" s="163">
        <f t="shared" si="11"/>
        <v>0</v>
      </c>
      <c r="AA20" s="162">
        <f t="shared" si="12"/>
        <v>0</v>
      </c>
      <c r="AB20" s="163">
        <f t="shared" si="13"/>
        <v>0</v>
      </c>
      <c r="AC20" s="162">
        <f t="shared" si="14"/>
        <v>0</v>
      </c>
      <c r="AD20" s="162">
        <f t="shared" si="15"/>
        <v>0</v>
      </c>
      <c r="AE20" s="162">
        <f t="shared" si="16"/>
        <v>0</v>
      </c>
      <c r="AF20" s="164">
        <f t="shared" si="17"/>
        <v>0</v>
      </c>
      <c r="AG20" s="165">
        <f t="shared" si="18"/>
        <v>0</v>
      </c>
      <c r="AH20" s="382">
        <f t="shared" si="19"/>
        <v>0</v>
      </c>
    </row>
    <row r="21" spans="1:34" s="64" customFormat="1" x14ac:dyDescent="0.25">
      <c r="A21" s="108" t="e">
        <f>IF(UC_DADOS!$B$2=0,"",UC_DADOS!$B$2)</f>
        <v>#N/A</v>
      </c>
      <c r="B21" s="157"/>
      <c r="C21" s="65"/>
      <c r="D21" s="158"/>
      <c r="E21" s="166"/>
      <c r="F21" s="385"/>
      <c r="G21" s="68"/>
      <c r="H21" s="159">
        <f t="shared" si="1"/>
        <v>0</v>
      </c>
      <c r="I21" s="159">
        <f t="shared" si="2"/>
        <v>0</v>
      </c>
      <c r="J21" s="66"/>
      <c r="K21" s="160">
        <f t="shared" si="3"/>
        <v>0</v>
      </c>
      <c r="L21" s="66"/>
      <c r="M21" s="66"/>
      <c r="N21" s="66"/>
      <c r="O21" s="161">
        <f t="shared" si="4"/>
        <v>0</v>
      </c>
      <c r="P21" s="161">
        <f t="shared" si="5"/>
        <v>0</v>
      </c>
      <c r="Q21" s="161">
        <f t="shared" si="6"/>
        <v>0</v>
      </c>
      <c r="R21" s="65"/>
      <c r="S21" s="68"/>
      <c r="T21" s="167"/>
      <c r="U21" s="385"/>
      <c r="V21" s="162">
        <f t="shared" si="7"/>
        <v>0</v>
      </c>
      <c r="W21" s="162">
        <f t="shared" si="8"/>
        <v>0</v>
      </c>
      <c r="X21" s="162">
        <f t="shared" si="9"/>
        <v>0</v>
      </c>
      <c r="Y21" s="163">
        <f t="shared" si="10"/>
        <v>0</v>
      </c>
      <c r="Z21" s="163">
        <f t="shared" si="11"/>
        <v>0</v>
      </c>
      <c r="AA21" s="162">
        <f t="shared" si="12"/>
        <v>0</v>
      </c>
      <c r="AB21" s="163">
        <f t="shared" si="13"/>
        <v>0</v>
      </c>
      <c r="AC21" s="162">
        <f t="shared" si="14"/>
        <v>0</v>
      </c>
      <c r="AD21" s="162">
        <f t="shared" si="15"/>
        <v>0</v>
      </c>
      <c r="AE21" s="162">
        <f t="shared" si="16"/>
        <v>0</v>
      </c>
      <c r="AF21" s="164">
        <f t="shared" si="17"/>
        <v>0</v>
      </c>
      <c r="AG21" s="165">
        <f t="shared" si="18"/>
        <v>0</v>
      </c>
      <c r="AH21" s="382">
        <f t="shared" si="19"/>
        <v>0</v>
      </c>
    </row>
    <row r="22" spans="1:34" s="64" customFormat="1" x14ac:dyDescent="0.25">
      <c r="A22" s="108" t="e">
        <f>IF(UC_DADOS!$B$2=0,"",UC_DADOS!$B$2)</f>
        <v>#N/A</v>
      </c>
      <c r="B22" s="157"/>
      <c r="C22" s="65"/>
      <c r="D22" s="158"/>
      <c r="E22" s="166"/>
      <c r="F22" s="385"/>
      <c r="G22" s="68"/>
      <c r="H22" s="159">
        <f t="shared" si="1"/>
        <v>0</v>
      </c>
      <c r="I22" s="159">
        <f t="shared" si="2"/>
        <v>0</v>
      </c>
      <c r="J22" s="66"/>
      <c r="K22" s="160">
        <f t="shared" si="3"/>
        <v>0</v>
      </c>
      <c r="L22" s="66"/>
      <c r="M22" s="66"/>
      <c r="N22" s="66"/>
      <c r="O22" s="161">
        <f t="shared" si="4"/>
        <v>0</v>
      </c>
      <c r="P22" s="161">
        <f t="shared" si="5"/>
        <v>0</v>
      </c>
      <c r="Q22" s="161">
        <f t="shared" si="6"/>
        <v>0</v>
      </c>
      <c r="R22" s="65"/>
      <c r="S22" s="68"/>
      <c r="T22" s="167"/>
      <c r="U22" s="385"/>
      <c r="V22" s="162">
        <f t="shared" si="7"/>
        <v>0</v>
      </c>
      <c r="W22" s="162">
        <f t="shared" si="8"/>
        <v>0</v>
      </c>
      <c r="X22" s="162">
        <f t="shared" si="9"/>
        <v>0</v>
      </c>
      <c r="Y22" s="163">
        <f t="shared" si="10"/>
        <v>0</v>
      </c>
      <c r="Z22" s="163">
        <f t="shared" si="11"/>
        <v>0</v>
      </c>
      <c r="AA22" s="162">
        <f t="shared" si="12"/>
        <v>0</v>
      </c>
      <c r="AB22" s="163">
        <f t="shared" si="13"/>
        <v>0</v>
      </c>
      <c r="AC22" s="162">
        <f t="shared" si="14"/>
        <v>0</v>
      </c>
      <c r="AD22" s="162">
        <f t="shared" si="15"/>
        <v>0</v>
      </c>
      <c r="AE22" s="162">
        <f t="shared" si="16"/>
        <v>0</v>
      </c>
      <c r="AF22" s="164">
        <f t="shared" si="17"/>
        <v>0</v>
      </c>
      <c r="AG22" s="165">
        <f t="shared" si="18"/>
        <v>0</v>
      </c>
      <c r="AH22" s="382">
        <f t="shared" si="19"/>
        <v>0</v>
      </c>
    </row>
    <row r="23" spans="1:34" s="64" customFormat="1" x14ac:dyDescent="0.25">
      <c r="A23" s="108" t="e">
        <f>IF(UC_DADOS!$B$2=0,"",UC_DADOS!$B$2)</f>
        <v>#N/A</v>
      </c>
      <c r="B23" s="157"/>
      <c r="C23" s="65"/>
      <c r="D23" s="158"/>
      <c r="E23" s="166"/>
      <c r="F23" s="385"/>
      <c r="G23" s="68"/>
      <c r="H23" s="159">
        <f t="shared" si="1"/>
        <v>0</v>
      </c>
      <c r="I23" s="159">
        <f t="shared" si="2"/>
        <v>0</v>
      </c>
      <c r="J23" s="66"/>
      <c r="K23" s="160">
        <f t="shared" si="3"/>
        <v>0</v>
      </c>
      <c r="L23" s="66"/>
      <c r="M23" s="66"/>
      <c r="N23" s="66"/>
      <c r="O23" s="161">
        <f t="shared" si="4"/>
        <v>0</v>
      </c>
      <c r="P23" s="161">
        <f t="shared" si="5"/>
        <v>0</v>
      </c>
      <c r="Q23" s="161">
        <f t="shared" si="6"/>
        <v>0</v>
      </c>
      <c r="R23" s="65"/>
      <c r="S23" s="68"/>
      <c r="T23" s="167"/>
      <c r="U23" s="385"/>
      <c r="V23" s="162">
        <f t="shared" si="7"/>
        <v>0</v>
      </c>
      <c r="W23" s="162">
        <f t="shared" si="8"/>
        <v>0</v>
      </c>
      <c r="X23" s="162">
        <f t="shared" si="9"/>
        <v>0</v>
      </c>
      <c r="Y23" s="163">
        <f t="shared" si="10"/>
        <v>0</v>
      </c>
      <c r="Z23" s="163">
        <f t="shared" si="11"/>
        <v>0</v>
      </c>
      <c r="AA23" s="162">
        <f t="shared" si="12"/>
        <v>0</v>
      </c>
      <c r="AB23" s="163">
        <f t="shared" si="13"/>
        <v>0</v>
      </c>
      <c r="AC23" s="162">
        <f t="shared" si="14"/>
        <v>0</v>
      </c>
      <c r="AD23" s="162">
        <f t="shared" si="15"/>
        <v>0</v>
      </c>
      <c r="AE23" s="162">
        <f t="shared" si="16"/>
        <v>0</v>
      </c>
      <c r="AF23" s="164">
        <f t="shared" si="17"/>
        <v>0</v>
      </c>
      <c r="AG23" s="165">
        <f t="shared" si="18"/>
        <v>0</v>
      </c>
      <c r="AH23" s="382">
        <f t="shared" si="19"/>
        <v>0</v>
      </c>
    </row>
    <row r="24" spans="1:34" s="64" customFormat="1" x14ac:dyDescent="0.25">
      <c r="A24" s="108" t="e">
        <f>IF(UC_DADOS!$B$2=0,"",UC_DADOS!$B$2)</f>
        <v>#N/A</v>
      </c>
      <c r="B24" s="157"/>
      <c r="C24" s="65"/>
      <c r="D24" s="158"/>
      <c r="E24" s="166"/>
      <c r="F24" s="385"/>
      <c r="G24" s="68"/>
      <c r="H24" s="159">
        <f t="shared" si="1"/>
        <v>0</v>
      </c>
      <c r="I24" s="159">
        <f t="shared" si="2"/>
        <v>0</v>
      </c>
      <c r="J24" s="66"/>
      <c r="K24" s="160">
        <f t="shared" si="3"/>
        <v>0</v>
      </c>
      <c r="L24" s="66"/>
      <c r="M24" s="66"/>
      <c r="N24" s="66"/>
      <c r="O24" s="161">
        <f t="shared" si="4"/>
        <v>0</v>
      </c>
      <c r="P24" s="161">
        <f t="shared" si="5"/>
        <v>0</v>
      </c>
      <c r="Q24" s="161">
        <f t="shared" si="6"/>
        <v>0</v>
      </c>
      <c r="R24" s="65"/>
      <c r="S24" s="68"/>
      <c r="T24" s="167"/>
      <c r="U24" s="385"/>
      <c r="V24" s="162">
        <f t="shared" si="7"/>
        <v>0</v>
      </c>
      <c r="W24" s="162">
        <f t="shared" si="8"/>
        <v>0</v>
      </c>
      <c r="X24" s="162">
        <f t="shared" si="9"/>
        <v>0</v>
      </c>
      <c r="Y24" s="163">
        <f t="shared" si="10"/>
        <v>0</v>
      </c>
      <c r="Z24" s="163">
        <f t="shared" si="11"/>
        <v>0</v>
      </c>
      <c r="AA24" s="162">
        <f t="shared" si="12"/>
        <v>0</v>
      </c>
      <c r="AB24" s="163">
        <f t="shared" si="13"/>
        <v>0</v>
      </c>
      <c r="AC24" s="162">
        <f t="shared" si="14"/>
        <v>0</v>
      </c>
      <c r="AD24" s="162">
        <f t="shared" si="15"/>
        <v>0</v>
      </c>
      <c r="AE24" s="162">
        <f t="shared" si="16"/>
        <v>0</v>
      </c>
      <c r="AF24" s="164">
        <f t="shared" si="17"/>
        <v>0</v>
      </c>
      <c r="AG24" s="165">
        <f t="shared" si="18"/>
        <v>0</v>
      </c>
      <c r="AH24" s="382">
        <f t="shared" si="19"/>
        <v>0</v>
      </c>
    </row>
    <row r="25" spans="1:34" s="64" customFormat="1" x14ac:dyDescent="0.25">
      <c r="A25" s="108" t="e">
        <f>IF(UC_DADOS!$B$2=0,"",UC_DADOS!$B$2)</f>
        <v>#N/A</v>
      </c>
      <c r="B25" s="157"/>
      <c r="C25" s="65"/>
      <c r="D25" s="158"/>
      <c r="E25" s="166"/>
      <c r="F25" s="385"/>
      <c r="G25" s="68"/>
      <c r="H25" s="159">
        <f t="shared" si="1"/>
        <v>0</v>
      </c>
      <c r="I25" s="159">
        <f t="shared" si="2"/>
        <v>0</v>
      </c>
      <c r="J25" s="66"/>
      <c r="K25" s="160">
        <f t="shared" si="3"/>
        <v>0</v>
      </c>
      <c r="L25" s="66"/>
      <c r="M25" s="66"/>
      <c r="N25" s="66"/>
      <c r="O25" s="161">
        <f t="shared" si="4"/>
        <v>0</v>
      </c>
      <c r="P25" s="161">
        <f t="shared" si="5"/>
        <v>0</v>
      </c>
      <c r="Q25" s="161">
        <f t="shared" si="6"/>
        <v>0</v>
      </c>
      <c r="R25" s="65"/>
      <c r="S25" s="68"/>
      <c r="T25" s="167"/>
      <c r="U25" s="385"/>
      <c r="V25" s="162">
        <f t="shared" si="7"/>
        <v>0</v>
      </c>
      <c r="W25" s="162">
        <f t="shared" si="8"/>
        <v>0</v>
      </c>
      <c r="X25" s="162">
        <f t="shared" si="9"/>
        <v>0</v>
      </c>
      <c r="Y25" s="163">
        <f t="shared" si="10"/>
        <v>0</v>
      </c>
      <c r="Z25" s="163">
        <f t="shared" si="11"/>
        <v>0</v>
      </c>
      <c r="AA25" s="162">
        <f t="shared" si="12"/>
        <v>0</v>
      </c>
      <c r="AB25" s="163">
        <f t="shared" si="13"/>
        <v>0</v>
      </c>
      <c r="AC25" s="162">
        <f t="shared" si="14"/>
        <v>0</v>
      </c>
      <c r="AD25" s="162">
        <f t="shared" si="15"/>
        <v>0</v>
      </c>
      <c r="AE25" s="162">
        <f t="shared" si="16"/>
        <v>0</v>
      </c>
      <c r="AF25" s="164">
        <f t="shared" si="17"/>
        <v>0</v>
      </c>
      <c r="AG25" s="165">
        <f t="shared" si="18"/>
        <v>0</v>
      </c>
      <c r="AH25" s="382">
        <f t="shared" si="19"/>
        <v>0</v>
      </c>
    </row>
    <row r="26" spans="1:34" s="64" customFormat="1" x14ac:dyDescent="0.25">
      <c r="A26" s="108" t="e">
        <f>IF(UC_DADOS!$B$2=0,"",UC_DADOS!$B$2)</f>
        <v>#N/A</v>
      </c>
      <c r="B26" s="157"/>
      <c r="C26" s="65"/>
      <c r="D26" s="158"/>
      <c r="E26" s="166"/>
      <c r="F26" s="385"/>
      <c r="G26" s="68"/>
      <c r="H26" s="159">
        <f t="shared" si="1"/>
        <v>0</v>
      </c>
      <c r="I26" s="159">
        <f t="shared" si="2"/>
        <v>0</v>
      </c>
      <c r="J26" s="66"/>
      <c r="K26" s="160">
        <f t="shared" si="3"/>
        <v>0</v>
      </c>
      <c r="L26" s="66"/>
      <c r="M26" s="66"/>
      <c r="N26" s="66"/>
      <c r="O26" s="161">
        <f t="shared" si="4"/>
        <v>0</v>
      </c>
      <c r="P26" s="161">
        <f t="shared" si="5"/>
        <v>0</v>
      </c>
      <c r="Q26" s="161">
        <f t="shared" si="6"/>
        <v>0</v>
      </c>
      <c r="R26" s="65"/>
      <c r="S26" s="68"/>
      <c r="T26" s="167"/>
      <c r="U26" s="385"/>
      <c r="V26" s="162">
        <f t="shared" si="7"/>
        <v>0</v>
      </c>
      <c r="W26" s="162">
        <f t="shared" si="8"/>
        <v>0</v>
      </c>
      <c r="X26" s="162">
        <f t="shared" si="9"/>
        <v>0</v>
      </c>
      <c r="Y26" s="163">
        <f t="shared" si="10"/>
        <v>0</v>
      </c>
      <c r="Z26" s="163">
        <f t="shared" si="11"/>
        <v>0</v>
      </c>
      <c r="AA26" s="162">
        <f t="shared" si="12"/>
        <v>0</v>
      </c>
      <c r="AB26" s="163">
        <f t="shared" si="13"/>
        <v>0</v>
      </c>
      <c r="AC26" s="162">
        <f t="shared" si="14"/>
        <v>0</v>
      </c>
      <c r="AD26" s="162">
        <f t="shared" si="15"/>
        <v>0</v>
      </c>
      <c r="AE26" s="162">
        <f t="shared" si="16"/>
        <v>0</v>
      </c>
      <c r="AF26" s="164">
        <f t="shared" si="17"/>
        <v>0</v>
      </c>
      <c r="AG26" s="165">
        <f t="shared" si="18"/>
        <v>0</v>
      </c>
      <c r="AH26" s="382">
        <f t="shared" si="19"/>
        <v>0</v>
      </c>
    </row>
    <row r="27" spans="1:34" s="64" customFormat="1" x14ac:dyDescent="0.25">
      <c r="A27" s="108" t="e">
        <f>IF(UC_DADOS!$B$2=0,"",UC_DADOS!$B$2)</f>
        <v>#N/A</v>
      </c>
      <c r="B27" s="157"/>
      <c r="C27" s="65"/>
      <c r="D27" s="158"/>
      <c r="E27" s="166"/>
      <c r="F27" s="385"/>
      <c r="G27" s="68"/>
      <c r="H27" s="159">
        <f t="shared" si="1"/>
        <v>0</v>
      </c>
      <c r="I27" s="159">
        <f t="shared" si="2"/>
        <v>0</v>
      </c>
      <c r="J27" s="66"/>
      <c r="K27" s="160">
        <f t="shared" si="3"/>
        <v>0</v>
      </c>
      <c r="L27" s="66"/>
      <c r="M27" s="66"/>
      <c r="N27" s="66"/>
      <c r="O27" s="161">
        <f t="shared" si="4"/>
        <v>0</v>
      </c>
      <c r="P27" s="161">
        <f t="shared" si="5"/>
        <v>0</v>
      </c>
      <c r="Q27" s="161">
        <f t="shared" si="6"/>
        <v>0</v>
      </c>
      <c r="R27" s="65"/>
      <c r="S27" s="68"/>
      <c r="T27" s="167"/>
      <c r="U27" s="385"/>
      <c r="V27" s="162">
        <f t="shared" si="7"/>
        <v>0</v>
      </c>
      <c r="W27" s="162">
        <f t="shared" si="8"/>
        <v>0</v>
      </c>
      <c r="X27" s="162">
        <f t="shared" si="9"/>
        <v>0</v>
      </c>
      <c r="Y27" s="163">
        <f t="shared" si="10"/>
        <v>0</v>
      </c>
      <c r="Z27" s="163">
        <f t="shared" si="11"/>
        <v>0</v>
      </c>
      <c r="AA27" s="162">
        <f t="shared" si="12"/>
        <v>0</v>
      </c>
      <c r="AB27" s="163">
        <f t="shared" si="13"/>
        <v>0</v>
      </c>
      <c r="AC27" s="162">
        <f t="shared" si="14"/>
        <v>0</v>
      </c>
      <c r="AD27" s="162">
        <f t="shared" si="15"/>
        <v>0</v>
      </c>
      <c r="AE27" s="162">
        <f t="shared" si="16"/>
        <v>0</v>
      </c>
      <c r="AF27" s="164">
        <f t="shared" si="17"/>
        <v>0</v>
      </c>
      <c r="AG27" s="165">
        <f t="shared" si="18"/>
        <v>0</v>
      </c>
      <c r="AH27" s="382">
        <f t="shared" si="19"/>
        <v>0</v>
      </c>
    </row>
    <row r="28" spans="1:34" s="64" customFormat="1" x14ac:dyDescent="0.25">
      <c r="A28" s="108" t="e">
        <f>IF(UC_DADOS!$B$2=0,"",UC_DADOS!$B$2)</f>
        <v>#N/A</v>
      </c>
      <c r="B28" s="157"/>
      <c r="C28" s="65"/>
      <c r="D28" s="158"/>
      <c r="E28" s="166"/>
      <c r="F28" s="385"/>
      <c r="G28" s="68"/>
      <c r="H28" s="159">
        <f t="shared" si="1"/>
        <v>0</v>
      </c>
      <c r="I28" s="159">
        <f t="shared" si="2"/>
        <v>0</v>
      </c>
      <c r="J28" s="66"/>
      <c r="K28" s="160">
        <f t="shared" si="3"/>
        <v>0</v>
      </c>
      <c r="L28" s="66"/>
      <c r="M28" s="66"/>
      <c r="N28" s="66"/>
      <c r="O28" s="161">
        <f t="shared" si="4"/>
        <v>0</v>
      </c>
      <c r="P28" s="161">
        <f t="shared" si="5"/>
        <v>0</v>
      </c>
      <c r="Q28" s="161">
        <f t="shared" si="6"/>
        <v>0</v>
      </c>
      <c r="R28" s="65"/>
      <c r="S28" s="68"/>
      <c r="T28" s="167"/>
      <c r="U28" s="385"/>
      <c r="V28" s="162">
        <f t="shared" si="7"/>
        <v>0</v>
      </c>
      <c r="W28" s="162">
        <f t="shared" si="8"/>
        <v>0</v>
      </c>
      <c r="X28" s="162">
        <f t="shared" si="9"/>
        <v>0</v>
      </c>
      <c r="Y28" s="163">
        <f t="shared" si="10"/>
        <v>0</v>
      </c>
      <c r="Z28" s="163">
        <f t="shared" si="11"/>
        <v>0</v>
      </c>
      <c r="AA28" s="162">
        <f t="shared" si="12"/>
        <v>0</v>
      </c>
      <c r="AB28" s="163">
        <f t="shared" si="13"/>
        <v>0</v>
      </c>
      <c r="AC28" s="162">
        <f t="shared" si="14"/>
        <v>0</v>
      </c>
      <c r="AD28" s="162">
        <f t="shared" si="15"/>
        <v>0</v>
      </c>
      <c r="AE28" s="162">
        <f t="shared" si="16"/>
        <v>0</v>
      </c>
      <c r="AF28" s="164">
        <f t="shared" si="17"/>
        <v>0</v>
      </c>
      <c r="AG28" s="165">
        <f t="shared" si="18"/>
        <v>0</v>
      </c>
      <c r="AH28" s="382">
        <f t="shared" si="19"/>
        <v>0</v>
      </c>
    </row>
    <row r="29" spans="1:34" s="64" customFormat="1" x14ac:dyDescent="0.25">
      <c r="A29" s="108" t="e">
        <f>IF(UC_DADOS!$B$2=0,"",UC_DADOS!$B$2)</f>
        <v>#N/A</v>
      </c>
      <c r="B29" s="157"/>
      <c r="C29" s="65"/>
      <c r="D29" s="158"/>
      <c r="E29" s="166"/>
      <c r="F29" s="385"/>
      <c r="G29" s="68"/>
      <c r="H29" s="159">
        <f t="shared" si="1"/>
        <v>0</v>
      </c>
      <c r="I29" s="159">
        <f t="shared" si="2"/>
        <v>0</v>
      </c>
      <c r="J29" s="66"/>
      <c r="K29" s="160">
        <f t="shared" si="3"/>
        <v>0</v>
      </c>
      <c r="L29" s="66"/>
      <c r="M29" s="66"/>
      <c r="N29" s="66"/>
      <c r="O29" s="161">
        <f t="shared" si="4"/>
        <v>0</v>
      </c>
      <c r="P29" s="161">
        <f t="shared" si="5"/>
        <v>0</v>
      </c>
      <c r="Q29" s="161">
        <f t="shared" si="6"/>
        <v>0</v>
      </c>
      <c r="R29" s="65"/>
      <c r="S29" s="68"/>
      <c r="T29" s="167"/>
      <c r="U29" s="385"/>
      <c r="V29" s="162">
        <f t="shared" si="7"/>
        <v>0</v>
      </c>
      <c r="W29" s="162">
        <f t="shared" si="8"/>
        <v>0</v>
      </c>
      <c r="X29" s="162">
        <f t="shared" si="9"/>
        <v>0</v>
      </c>
      <c r="Y29" s="163">
        <f t="shared" si="10"/>
        <v>0</v>
      </c>
      <c r="Z29" s="163">
        <f t="shared" si="11"/>
        <v>0</v>
      </c>
      <c r="AA29" s="162">
        <f t="shared" si="12"/>
        <v>0</v>
      </c>
      <c r="AB29" s="163">
        <f t="shared" si="13"/>
        <v>0</v>
      </c>
      <c r="AC29" s="162">
        <f t="shared" si="14"/>
        <v>0</v>
      </c>
      <c r="AD29" s="162">
        <f t="shared" si="15"/>
        <v>0</v>
      </c>
      <c r="AE29" s="162">
        <f t="shared" si="16"/>
        <v>0</v>
      </c>
      <c r="AF29" s="164">
        <f t="shared" si="17"/>
        <v>0</v>
      </c>
      <c r="AG29" s="165">
        <f t="shared" si="18"/>
        <v>0</v>
      </c>
      <c r="AH29" s="382">
        <f t="shared" si="19"/>
        <v>0</v>
      </c>
    </row>
    <row r="30" spans="1:34" s="64" customFormat="1" x14ac:dyDescent="0.25">
      <c r="A30" s="108" t="e">
        <f>IF(UC_DADOS!$B$2=0,"",UC_DADOS!$B$2)</f>
        <v>#N/A</v>
      </c>
      <c r="B30" s="157"/>
      <c r="C30" s="65"/>
      <c r="D30" s="158"/>
      <c r="E30" s="166"/>
      <c r="F30" s="385"/>
      <c r="G30" s="68"/>
      <c r="H30" s="159">
        <f t="shared" si="1"/>
        <v>0</v>
      </c>
      <c r="I30" s="159">
        <f t="shared" si="2"/>
        <v>0</v>
      </c>
      <c r="J30" s="66"/>
      <c r="K30" s="160">
        <f t="shared" si="3"/>
        <v>0</v>
      </c>
      <c r="L30" s="66"/>
      <c r="M30" s="66"/>
      <c r="N30" s="66"/>
      <c r="O30" s="161">
        <f t="shared" si="4"/>
        <v>0</v>
      </c>
      <c r="P30" s="161">
        <f t="shared" si="5"/>
        <v>0</v>
      </c>
      <c r="Q30" s="161">
        <f t="shared" si="6"/>
        <v>0</v>
      </c>
      <c r="R30" s="65"/>
      <c r="S30" s="68"/>
      <c r="T30" s="167"/>
      <c r="U30" s="385"/>
      <c r="V30" s="162">
        <f t="shared" si="7"/>
        <v>0</v>
      </c>
      <c r="W30" s="162">
        <f t="shared" si="8"/>
        <v>0</v>
      </c>
      <c r="X30" s="162">
        <f t="shared" si="9"/>
        <v>0</v>
      </c>
      <c r="Y30" s="163">
        <f t="shared" si="10"/>
        <v>0</v>
      </c>
      <c r="Z30" s="163">
        <f t="shared" si="11"/>
        <v>0</v>
      </c>
      <c r="AA30" s="162">
        <f t="shared" si="12"/>
        <v>0</v>
      </c>
      <c r="AB30" s="163">
        <f t="shared" si="13"/>
        <v>0</v>
      </c>
      <c r="AC30" s="162">
        <f t="shared" si="14"/>
        <v>0</v>
      </c>
      <c r="AD30" s="162">
        <f t="shared" si="15"/>
        <v>0</v>
      </c>
      <c r="AE30" s="162">
        <f t="shared" si="16"/>
        <v>0</v>
      </c>
      <c r="AF30" s="164">
        <f t="shared" si="17"/>
        <v>0</v>
      </c>
      <c r="AG30" s="165">
        <f t="shared" si="18"/>
        <v>0</v>
      </c>
      <c r="AH30" s="382">
        <f t="shared" si="19"/>
        <v>0</v>
      </c>
    </row>
    <row r="31" spans="1:34" s="64" customFormat="1" x14ac:dyDescent="0.25">
      <c r="A31" s="108" t="e">
        <f>IF(UC_DADOS!$B$2=0,"",UC_DADOS!$B$2)</f>
        <v>#N/A</v>
      </c>
      <c r="B31" s="157"/>
      <c r="C31" s="65"/>
      <c r="D31" s="158"/>
      <c r="E31" s="166"/>
      <c r="F31" s="385"/>
      <c r="G31" s="68"/>
      <c r="H31" s="159">
        <f t="shared" si="1"/>
        <v>0</v>
      </c>
      <c r="I31" s="159">
        <f t="shared" si="2"/>
        <v>0</v>
      </c>
      <c r="J31" s="66"/>
      <c r="K31" s="160">
        <f t="shared" si="3"/>
        <v>0</v>
      </c>
      <c r="L31" s="66"/>
      <c r="M31" s="66"/>
      <c r="N31" s="66"/>
      <c r="O31" s="161">
        <f t="shared" si="4"/>
        <v>0</v>
      </c>
      <c r="P31" s="161">
        <f t="shared" si="5"/>
        <v>0</v>
      </c>
      <c r="Q31" s="161">
        <f t="shared" si="6"/>
        <v>0</v>
      </c>
      <c r="R31" s="65"/>
      <c r="S31" s="68"/>
      <c r="T31" s="167"/>
      <c r="U31" s="385"/>
      <c r="V31" s="162">
        <f t="shared" si="7"/>
        <v>0</v>
      </c>
      <c r="W31" s="162">
        <f t="shared" si="8"/>
        <v>0</v>
      </c>
      <c r="X31" s="162">
        <f t="shared" si="9"/>
        <v>0</v>
      </c>
      <c r="Y31" s="163">
        <f t="shared" si="10"/>
        <v>0</v>
      </c>
      <c r="Z31" s="163">
        <f t="shared" si="11"/>
        <v>0</v>
      </c>
      <c r="AA31" s="162">
        <f t="shared" si="12"/>
        <v>0</v>
      </c>
      <c r="AB31" s="163">
        <f t="shared" si="13"/>
        <v>0</v>
      </c>
      <c r="AC31" s="162">
        <f t="shared" si="14"/>
        <v>0</v>
      </c>
      <c r="AD31" s="162">
        <f t="shared" si="15"/>
        <v>0</v>
      </c>
      <c r="AE31" s="162">
        <f t="shared" si="16"/>
        <v>0</v>
      </c>
      <c r="AF31" s="164">
        <f t="shared" si="17"/>
        <v>0</v>
      </c>
      <c r="AG31" s="165">
        <f t="shared" si="18"/>
        <v>0</v>
      </c>
      <c r="AH31" s="382">
        <f t="shared" si="19"/>
        <v>0</v>
      </c>
    </row>
    <row r="32" spans="1:34" s="64" customFormat="1" x14ac:dyDescent="0.25">
      <c r="A32" s="108" t="e">
        <f>IF(UC_DADOS!$B$2=0,"",UC_DADOS!$B$2)</f>
        <v>#N/A</v>
      </c>
      <c r="B32" s="157"/>
      <c r="C32" s="65"/>
      <c r="D32" s="158"/>
      <c r="E32" s="166"/>
      <c r="F32" s="385"/>
      <c r="G32" s="68"/>
      <c r="H32" s="159">
        <f t="shared" si="1"/>
        <v>0</v>
      </c>
      <c r="I32" s="159">
        <f t="shared" si="2"/>
        <v>0</v>
      </c>
      <c r="J32" s="66"/>
      <c r="K32" s="160">
        <f t="shared" si="3"/>
        <v>0</v>
      </c>
      <c r="L32" s="66"/>
      <c r="M32" s="66"/>
      <c r="N32" s="66"/>
      <c r="O32" s="161">
        <f t="shared" si="4"/>
        <v>0</v>
      </c>
      <c r="P32" s="161">
        <f t="shared" si="5"/>
        <v>0</v>
      </c>
      <c r="Q32" s="161">
        <f t="shared" si="6"/>
        <v>0</v>
      </c>
      <c r="R32" s="65"/>
      <c r="S32" s="68"/>
      <c r="T32" s="167"/>
      <c r="U32" s="385"/>
      <c r="V32" s="162">
        <f t="shared" si="7"/>
        <v>0</v>
      </c>
      <c r="W32" s="162">
        <f t="shared" si="8"/>
        <v>0</v>
      </c>
      <c r="X32" s="162">
        <f t="shared" si="9"/>
        <v>0</v>
      </c>
      <c r="Y32" s="163">
        <f t="shared" si="10"/>
        <v>0</v>
      </c>
      <c r="Z32" s="163">
        <f t="shared" si="11"/>
        <v>0</v>
      </c>
      <c r="AA32" s="162">
        <f t="shared" si="12"/>
        <v>0</v>
      </c>
      <c r="AB32" s="163">
        <f t="shared" si="13"/>
        <v>0</v>
      </c>
      <c r="AC32" s="162">
        <f t="shared" si="14"/>
        <v>0</v>
      </c>
      <c r="AD32" s="162">
        <f t="shared" si="15"/>
        <v>0</v>
      </c>
      <c r="AE32" s="162">
        <f t="shared" si="16"/>
        <v>0</v>
      </c>
      <c r="AF32" s="164">
        <f t="shared" si="17"/>
        <v>0</v>
      </c>
      <c r="AG32" s="165">
        <f t="shared" si="18"/>
        <v>0</v>
      </c>
      <c r="AH32" s="382">
        <f t="shared" si="19"/>
        <v>0</v>
      </c>
    </row>
    <row r="33" spans="1:34" s="64" customFormat="1" x14ac:dyDescent="0.25">
      <c r="A33" s="108" t="e">
        <f>IF(UC_DADOS!$B$2=0,"",UC_DADOS!$B$2)</f>
        <v>#N/A</v>
      </c>
      <c r="B33" s="157"/>
      <c r="C33" s="65"/>
      <c r="D33" s="158"/>
      <c r="E33" s="166"/>
      <c r="F33" s="385"/>
      <c r="G33" s="68"/>
      <c r="H33" s="159">
        <f t="shared" si="1"/>
        <v>0</v>
      </c>
      <c r="I33" s="159">
        <f t="shared" si="2"/>
        <v>0</v>
      </c>
      <c r="J33" s="66"/>
      <c r="K33" s="160">
        <f t="shared" si="3"/>
        <v>0</v>
      </c>
      <c r="L33" s="66"/>
      <c r="M33" s="66"/>
      <c r="N33" s="66"/>
      <c r="O33" s="161">
        <f t="shared" si="4"/>
        <v>0</v>
      </c>
      <c r="P33" s="161">
        <f t="shared" si="5"/>
        <v>0</v>
      </c>
      <c r="Q33" s="161">
        <f t="shared" si="6"/>
        <v>0</v>
      </c>
      <c r="R33" s="65"/>
      <c r="S33" s="68"/>
      <c r="T33" s="167"/>
      <c r="U33" s="385"/>
      <c r="V33" s="162">
        <f t="shared" si="7"/>
        <v>0</v>
      </c>
      <c r="W33" s="162">
        <f t="shared" si="8"/>
        <v>0</v>
      </c>
      <c r="X33" s="162">
        <f t="shared" si="9"/>
        <v>0</v>
      </c>
      <c r="Y33" s="163">
        <f t="shared" si="10"/>
        <v>0</v>
      </c>
      <c r="Z33" s="163">
        <f t="shared" si="11"/>
        <v>0</v>
      </c>
      <c r="AA33" s="162">
        <f t="shared" si="12"/>
        <v>0</v>
      </c>
      <c r="AB33" s="163">
        <f t="shared" si="13"/>
        <v>0</v>
      </c>
      <c r="AC33" s="162">
        <f t="shared" si="14"/>
        <v>0</v>
      </c>
      <c r="AD33" s="162">
        <f t="shared" si="15"/>
        <v>0</v>
      </c>
      <c r="AE33" s="162">
        <f t="shared" si="16"/>
        <v>0</v>
      </c>
      <c r="AF33" s="164">
        <f t="shared" si="17"/>
        <v>0</v>
      </c>
      <c r="AG33" s="165">
        <f t="shared" si="18"/>
        <v>0</v>
      </c>
      <c r="AH33" s="382">
        <f t="shared" si="19"/>
        <v>0</v>
      </c>
    </row>
    <row r="34" spans="1:34" s="64" customFormat="1" x14ac:dyDescent="0.25">
      <c r="A34" s="108" t="e">
        <f>IF(UC_DADOS!$B$2=0,"",UC_DADOS!$B$2)</f>
        <v>#N/A</v>
      </c>
      <c r="B34" s="157"/>
      <c r="C34" s="65"/>
      <c r="D34" s="158"/>
      <c r="E34" s="166"/>
      <c r="F34" s="385"/>
      <c r="G34" s="68"/>
      <c r="H34" s="159">
        <f t="shared" si="1"/>
        <v>0</v>
      </c>
      <c r="I34" s="159">
        <f t="shared" si="2"/>
        <v>0</v>
      </c>
      <c r="J34" s="66"/>
      <c r="K34" s="160">
        <f t="shared" si="3"/>
        <v>0</v>
      </c>
      <c r="L34" s="66"/>
      <c r="M34" s="66"/>
      <c r="N34" s="66"/>
      <c r="O34" s="161">
        <f t="shared" si="4"/>
        <v>0</v>
      </c>
      <c r="P34" s="161">
        <f t="shared" si="5"/>
        <v>0</v>
      </c>
      <c r="Q34" s="161">
        <f t="shared" si="6"/>
        <v>0</v>
      </c>
      <c r="R34" s="65"/>
      <c r="S34" s="68"/>
      <c r="T34" s="167"/>
      <c r="U34" s="385"/>
      <c r="V34" s="162">
        <f t="shared" si="7"/>
        <v>0</v>
      </c>
      <c r="W34" s="162">
        <f t="shared" si="8"/>
        <v>0</v>
      </c>
      <c r="X34" s="162">
        <f t="shared" si="9"/>
        <v>0</v>
      </c>
      <c r="Y34" s="163">
        <f t="shared" si="10"/>
        <v>0</v>
      </c>
      <c r="Z34" s="163">
        <f t="shared" si="11"/>
        <v>0</v>
      </c>
      <c r="AA34" s="162">
        <f t="shared" si="12"/>
        <v>0</v>
      </c>
      <c r="AB34" s="163">
        <f t="shared" si="13"/>
        <v>0</v>
      </c>
      <c r="AC34" s="162">
        <f t="shared" si="14"/>
        <v>0</v>
      </c>
      <c r="AD34" s="162">
        <f t="shared" si="15"/>
        <v>0</v>
      </c>
      <c r="AE34" s="162">
        <f t="shared" si="16"/>
        <v>0</v>
      </c>
      <c r="AF34" s="164">
        <f t="shared" si="17"/>
        <v>0</v>
      </c>
      <c r="AG34" s="165">
        <f t="shared" si="18"/>
        <v>0</v>
      </c>
      <c r="AH34" s="382">
        <f t="shared" si="19"/>
        <v>0</v>
      </c>
    </row>
    <row r="35" spans="1:34" s="64" customFormat="1" x14ac:dyDescent="0.25">
      <c r="A35" s="108" t="e">
        <f>IF(UC_DADOS!$B$2=0,"",UC_DADOS!$B$2)</f>
        <v>#N/A</v>
      </c>
      <c r="B35" s="157"/>
      <c r="C35" s="65"/>
      <c r="D35" s="158"/>
      <c r="E35" s="166"/>
      <c r="F35" s="385"/>
      <c r="G35" s="68"/>
      <c r="H35" s="159">
        <f t="shared" si="1"/>
        <v>0</v>
      </c>
      <c r="I35" s="159">
        <f t="shared" si="2"/>
        <v>0</v>
      </c>
      <c r="J35" s="66"/>
      <c r="K35" s="160">
        <f t="shared" si="3"/>
        <v>0</v>
      </c>
      <c r="L35" s="66"/>
      <c r="M35" s="66"/>
      <c r="N35" s="66"/>
      <c r="O35" s="161">
        <f t="shared" si="4"/>
        <v>0</v>
      </c>
      <c r="P35" s="161">
        <f t="shared" si="5"/>
        <v>0</v>
      </c>
      <c r="Q35" s="161">
        <f t="shared" si="6"/>
        <v>0</v>
      </c>
      <c r="R35" s="65"/>
      <c r="S35" s="68"/>
      <c r="T35" s="167"/>
      <c r="U35" s="385"/>
      <c r="V35" s="162">
        <f t="shared" si="7"/>
        <v>0</v>
      </c>
      <c r="W35" s="162">
        <f t="shared" si="8"/>
        <v>0</v>
      </c>
      <c r="X35" s="162">
        <f t="shared" si="9"/>
        <v>0</v>
      </c>
      <c r="Y35" s="163">
        <f t="shared" si="10"/>
        <v>0</v>
      </c>
      <c r="Z35" s="163">
        <f t="shared" si="11"/>
        <v>0</v>
      </c>
      <c r="AA35" s="162">
        <f t="shared" si="12"/>
        <v>0</v>
      </c>
      <c r="AB35" s="163">
        <f t="shared" si="13"/>
        <v>0</v>
      </c>
      <c r="AC35" s="162">
        <f t="shared" si="14"/>
        <v>0</v>
      </c>
      <c r="AD35" s="162">
        <f t="shared" si="15"/>
        <v>0</v>
      </c>
      <c r="AE35" s="162">
        <f t="shared" si="16"/>
        <v>0</v>
      </c>
      <c r="AF35" s="164">
        <f t="shared" si="17"/>
        <v>0</v>
      </c>
      <c r="AG35" s="165">
        <f t="shared" si="18"/>
        <v>0</v>
      </c>
      <c r="AH35" s="382">
        <f t="shared" si="19"/>
        <v>0</v>
      </c>
    </row>
    <row r="36" spans="1:34" s="64" customFormat="1" x14ac:dyDescent="0.25">
      <c r="A36" s="108" t="e">
        <f>IF(UC_DADOS!$B$2=0,"",UC_DADOS!$B$2)</f>
        <v>#N/A</v>
      </c>
      <c r="B36" s="157"/>
      <c r="C36" s="65"/>
      <c r="D36" s="158"/>
      <c r="E36" s="166"/>
      <c r="F36" s="385"/>
      <c r="G36" s="68"/>
      <c r="H36" s="159">
        <f t="shared" si="1"/>
        <v>0</v>
      </c>
      <c r="I36" s="159">
        <f t="shared" si="2"/>
        <v>0</v>
      </c>
      <c r="J36" s="66"/>
      <c r="K36" s="160">
        <f t="shared" si="3"/>
        <v>0</v>
      </c>
      <c r="L36" s="66"/>
      <c r="M36" s="66"/>
      <c r="N36" s="66"/>
      <c r="O36" s="161">
        <f t="shared" si="4"/>
        <v>0</v>
      </c>
      <c r="P36" s="161">
        <f t="shared" si="5"/>
        <v>0</v>
      </c>
      <c r="Q36" s="161">
        <f t="shared" si="6"/>
        <v>0</v>
      </c>
      <c r="R36" s="65"/>
      <c r="S36" s="68"/>
      <c r="T36" s="167"/>
      <c r="U36" s="385"/>
      <c r="V36" s="162">
        <f t="shared" si="7"/>
        <v>0</v>
      </c>
      <c r="W36" s="162">
        <f t="shared" si="8"/>
        <v>0</v>
      </c>
      <c r="X36" s="162">
        <f t="shared" si="9"/>
        <v>0</v>
      </c>
      <c r="Y36" s="163">
        <f t="shared" si="10"/>
        <v>0</v>
      </c>
      <c r="Z36" s="163">
        <f t="shared" si="11"/>
        <v>0</v>
      </c>
      <c r="AA36" s="162">
        <f t="shared" si="12"/>
        <v>0</v>
      </c>
      <c r="AB36" s="163">
        <f t="shared" si="13"/>
        <v>0</v>
      </c>
      <c r="AC36" s="162">
        <f t="shared" si="14"/>
        <v>0</v>
      </c>
      <c r="AD36" s="162">
        <f t="shared" si="15"/>
        <v>0</v>
      </c>
      <c r="AE36" s="162">
        <f t="shared" si="16"/>
        <v>0</v>
      </c>
      <c r="AF36" s="164">
        <f t="shared" si="17"/>
        <v>0</v>
      </c>
      <c r="AG36" s="165">
        <f t="shared" si="18"/>
        <v>0</v>
      </c>
      <c r="AH36" s="382">
        <f t="shared" si="19"/>
        <v>0</v>
      </c>
    </row>
    <row r="37" spans="1:34" s="64" customFormat="1" x14ac:dyDescent="0.25">
      <c r="A37" s="108" t="e">
        <f>IF(UC_DADOS!$B$2=0,"",UC_DADOS!$B$2)</f>
        <v>#N/A</v>
      </c>
      <c r="B37" s="157"/>
      <c r="C37" s="65"/>
      <c r="D37" s="158"/>
      <c r="E37" s="166"/>
      <c r="F37" s="385"/>
      <c r="G37" s="68"/>
      <c r="H37" s="159">
        <f t="shared" si="1"/>
        <v>0</v>
      </c>
      <c r="I37" s="159">
        <f t="shared" si="2"/>
        <v>0</v>
      </c>
      <c r="J37" s="66"/>
      <c r="K37" s="160">
        <f t="shared" si="3"/>
        <v>0</v>
      </c>
      <c r="L37" s="66"/>
      <c r="M37" s="66"/>
      <c r="N37" s="66"/>
      <c r="O37" s="161">
        <f t="shared" si="4"/>
        <v>0</v>
      </c>
      <c r="P37" s="161">
        <f t="shared" si="5"/>
        <v>0</v>
      </c>
      <c r="Q37" s="161">
        <f t="shared" si="6"/>
        <v>0</v>
      </c>
      <c r="R37" s="65"/>
      <c r="S37" s="68"/>
      <c r="T37" s="167"/>
      <c r="U37" s="385"/>
      <c r="V37" s="162">
        <f t="shared" si="7"/>
        <v>0</v>
      </c>
      <c r="W37" s="162">
        <f t="shared" si="8"/>
        <v>0</v>
      </c>
      <c r="X37" s="162">
        <f t="shared" si="9"/>
        <v>0</v>
      </c>
      <c r="Y37" s="163">
        <f t="shared" si="10"/>
        <v>0</v>
      </c>
      <c r="Z37" s="163">
        <f t="shared" si="11"/>
        <v>0</v>
      </c>
      <c r="AA37" s="162">
        <f t="shared" si="12"/>
        <v>0</v>
      </c>
      <c r="AB37" s="163">
        <f t="shared" si="13"/>
        <v>0</v>
      </c>
      <c r="AC37" s="162">
        <f t="shared" si="14"/>
        <v>0</v>
      </c>
      <c r="AD37" s="162">
        <f t="shared" si="15"/>
        <v>0</v>
      </c>
      <c r="AE37" s="162">
        <f t="shared" si="16"/>
        <v>0</v>
      </c>
      <c r="AF37" s="164">
        <f t="shared" si="17"/>
        <v>0</v>
      </c>
      <c r="AG37" s="165">
        <f t="shared" si="18"/>
        <v>0</v>
      </c>
      <c r="AH37" s="382">
        <f t="shared" si="19"/>
        <v>0</v>
      </c>
    </row>
    <row r="38" spans="1:34" s="64" customFormat="1" x14ac:dyDescent="0.25">
      <c r="A38" s="108" t="e">
        <f>IF(UC_DADOS!$B$2=0,"",UC_DADOS!$B$2)</f>
        <v>#N/A</v>
      </c>
      <c r="B38" s="157"/>
      <c r="C38" s="65"/>
      <c r="D38" s="158"/>
      <c r="E38" s="166"/>
      <c r="F38" s="385"/>
      <c r="G38" s="68"/>
      <c r="H38" s="159">
        <f t="shared" si="1"/>
        <v>0</v>
      </c>
      <c r="I38" s="159">
        <f t="shared" si="2"/>
        <v>0</v>
      </c>
      <c r="J38" s="66"/>
      <c r="K38" s="160">
        <f t="shared" si="3"/>
        <v>0</v>
      </c>
      <c r="L38" s="66"/>
      <c r="M38" s="66"/>
      <c r="N38" s="66"/>
      <c r="O38" s="161">
        <f t="shared" si="4"/>
        <v>0</v>
      </c>
      <c r="P38" s="161">
        <f t="shared" si="5"/>
        <v>0</v>
      </c>
      <c r="Q38" s="161">
        <f t="shared" si="6"/>
        <v>0</v>
      </c>
      <c r="R38" s="65"/>
      <c r="S38" s="68"/>
      <c r="T38" s="167"/>
      <c r="U38" s="385"/>
      <c r="V38" s="162">
        <f t="shared" si="7"/>
        <v>0</v>
      </c>
      <c r="W38" s="162">
        <f t="shared" si="8"/>
        <v>0</v>
      </c>
      <c r="X38" s="162">
        <f t="shared" si="9"/>
        <v>0</v>
      </c>
      <c r="Y38" s="163">
        <f t="shared" si="10"/>
        <v>0</v>
      </c>
      <c r="Z38" s="163">
        <f t="shared" si="11"/>
        <v>0</v>
      </c>
      <c r="AA38" s="162">
        <f t="shared" si="12"/>
        <v>0</v>
      </c>
      <c r="AB38" s="163">
        <f t="shared" si="13"/>
        <v>0</v>
      </c>
      <c r="AC38" s="162">
        <f t="shared" si="14"/>
        <v>0</v>
      </c>
      <c r="AD38" s="162">
        <f t="shared" si="15"/>
        <v>0</v>
      </c>
      <c r="AE38" s="162">
        <f t="shared" si="16"/>
        <v>0</v>
      </c>
      <c r="AF38" s="164">
        <f t="shared" si="17"/>
        <v>0</v>
      </c>
      <c r="AG38" s="165">
        <f t="shared" si="18"/>
        <v>0</v>
      </c>
      <c r="AH38" s="382">
        <f t="shared" si="19"/>
        <v>0</v>
      </c>
    </row>
    <row r="39" spans="1:34" s="64" customFormat="1" x14ac:dyDescent="0.25">
      <c r="A39" s="108" t="e">
        <f>IF(UC_DADOS!$B$2=0,"",UC_DADOS!$B$2)</f>
        <v>#N/A</v>
      </c>
      <c r="B39" s="157"/>
      <c r="C39" s="65"/>
      <c r="D39" s="158"/>
      <c r="E39" s="166"/>
      <c r="F39" s="385"/>
      <c r="G39" s="68"/>
      <c r="H39" s="159">
        <f t="shared" si="1"/>
        <v>0</v>
      </c>
      <c r="I39" s="159">
        <f t="shared" si="2"/>
        <v>0</v>
      </c>
      <c r="J39" s="66"/>
      <c r="K39" s="160">
        <f t="shared" si="3"/>
        <v>0</v>
      </c>
      <c r="L39" s="66"/>
      <c r="M39" s="66"/>
      <c r="N39" s="66"/>
      <c r="O39" s="161">
        <f t="shared" si="4"/>
        <v>0</v>
      </c>
      <c r="P39" s="161">
        <f t="shared" si="5"/>
        <v>0</v>
      </c>
      <c r="Q39" s="161">
        <f t="shared" si="6"/>
        <v>0</v>
      </c>
      <c r="R39" s="65"/>
      <c r="S39" s="68"/>
      <c r="T39" s="167"/>
      <c r="U39" s="385"/>
      <c r="V39" s="162">
        <f t="shared" si="7"/>
        <v>0</v>
      </c>
      <c r="W39" s="162">
        <f t="shared" si="8"/>
        <v>0</v>
      </c>
      <c r="X39" s="162">
        <f t="shared" si="9"/>
        <v>0</v>
      </c>
      <c r="Y39" s="163">
        <f t="shared" si="10"/>
        <v>0</v>
      </c>
      <c r="Z39" s="163">
        <f t="shared" si="11"/>
        <v>0</v>
      </c>
      <c r="AA39" s="162">
        <f t="shared" si="12"/>
        <v>0</v>
      </c>
      <c r="AB39" s="163">
        <f t="shared" si="13"/>
        <v>0</v>
      </c>
      <c r="AC39" s="162">
        <f t="shared" si="14"/>
        <v>0</v>
      </c>
      <c r="AD39" s="162">
        <f t="shared" si="15"/>
        <v>0</v>
      </c>
      <c r="AE39" s="162">
        <f t="shared" si="16"/>
        <v>0</v>
      </c>
      <c r="AF39" s="164">
        <f t="shared" si="17"/>
        <v>0</v>
      </c>
      <c r="AG39" s="165">
        <f t="shared" si="18"/>
        <v>0</v>
      </c>
      <c r="AH39" s="382">
        <f t="shared" si="19"/>
        <v>0</v>
      </c>
    </row>
    <row r="40" spans="1:34" s="64" customFormat="1" x14ac:dyDescent="0.25">
      <c r="A40" s="108" t="e">
        <f>IF(UC_DADOS!$B$2=0,"",UC_DADOS!$B$2)</f>
        <v>#N/A</v>
      </c>
      <c r="B40" s="157"/>
      <c r="C40" s="65"/>
      <c r="D40" s="158"/>
      <c r="E40" s="166"/>
      <c r="F40" s="385"/>
      <c r="G40" s="68"/>
      <c r="H40" s="159">
        <f t="shared" si="1"/>
        <v>0</v>
      </c>
      <c r="I40" s="159">
        <f t="shared" si="2"/>
        <v>0</v>
      </c>
      <c r="J40" s="66"/>
      <c r="K40" s="160">
        <f t="shared" si="3"/>
        <v>0</v>
      </c>
      <c r="L40" s="66"/>
      <c r="M40" s="66"/>
      <c r="N40" s="66"/>
      <c r="O40" s="161">
        <f t="shared" si="4"/>
        <v>0</v>
      </c>
      <c r="P40" s="161">
        <f t="shared" si="5"/>
        <v>0</v>
      </c>
      <c r="Q40" s="161">
        <f t="shared" si="6"/>
        <v>0</v>
      </c>
      <c r="R40" s="65"/>
      <c r="S40" s="68"/>
      <c r="T40" s="167"/>
      <c r="U40" s="385"/>
      <c r="V40" s="162">
        <f t="shared" si="7"/>
        <v>0</v>
      </c>
      <c r="W40" s="162">
        <f t="shared" si="8"/>
        <v>0</v>
      </c>
      <c r="X40" s="162">
        <f t="shared" si="9"/>
        <v>0</v>
      </c>
      <c r="Y40" s="163">
        <f t="shared" si="10"/>
        <v>0</v>
      </c>
      <c r="Z40" s="163">
        <f t="shared" si="11"/>
        <v>0</v>
      </c>
      <c r="AA40" s="162">
        <f t="shared" si="12"/>
        <v>0</v>
      </c>
      <c r="AB40" s="163">
        <f t="shared" si="13"/>
        <v>0</v>
      </c>
      <c r="AC40" s="162">
        <f t="shared" si="14"/>
        <v>0</v>
      </c>
      <c r="AD40" s="162">
        <f t="shared" si="15"/>
        <v>0</v>
      </c>
      <c r="AE40" s="162">
        <f t="shared" si="16"/>
        <v>0</v>
      </c>
      <c r="AF40" s="164">
        <f t="shared" si="17"/>
        <v>0</v>
      </c>
      <c r="AG40" s="165">
        <f t="shared" si="18"/>
        <v>0</v>
      </c>
      <c r="AH40" s="382">
        <f t="shared" si="19"/>
        <v>0</v>
      </c>
    </row>
    <row r="41" spans="1:34" s="64" customFormat="1" x14ac:dyDescent="0.25">
      <c r="A41" s="108" t="e">
        <f>IF(UC_DADOS!$B$2=0,"",UC_DADOS!$B$2)</f>
        <v>#N/A</v>
      </c>
      <c r="B41" s="157"/>
      <c r="C41" s="65"/>
      <c r="D41" s="158"/>
      <c r="E41" s="166"/>
      <c r="F41" s="385"/>
      <c r="G41" s="68"/>
      <c r="H41" s="159">
        <f t="shared" si="1"/>
        <v>0</v>
      </c>
      <c r="I41" s="159">
        <f t="shared" si="2"/>
        <v>0</v>
      </c>
      <c r="J41" s="66"/>
      <c r="K41" s="160">
        <f t="shared" si="3"/>
        <v>0</v>
      </c>
      <c r="L41" s="66"/>
      <c r="M41" s="66"/>
      <c r="N41" s="66"/>
      <c r="O41" s="161">
        <f t="shared" si="4"/>
        <v>0</v>
      </c>
      <c r="P41" s="161">
        <f t="shared" si="5"/>
        <v>0</v>
      </c>
      <c r="Q41" s="161">
        <f t="shared" si="6"/>
        <v>0</v>
      </c>
      <c r="R41" s="65"/>
      <c r="S41" s="68"/>
      <c r="T41" s="167"/>
      <c r="U41" s="385"/>
      <c r="V41" s="162">
        <f t="shared" si="7"/>
        <v>0</v>
      </c>
      <c r="W41" s="162">
        <f t="shared" si="8"/>
        <v>0</v>
      </c>
      <c r="X41" s="162">
        <f t="shared" si="9"/>
        <v>0</v>
      </c>
      <c r="Y41" s="163">
        <f t="shared" si="10"/>
        <v>0</v>
      </c>
      <c r="Z41" s="163">
        <f t="shared" si="11"/>
        <v>0</v>
      </c>
      <c r="AA41" s="162">
        <f t="shared" si="12"/>
        <v>0</v>
      </c>
      <c r="AB41" s="163">
        <f t="shared" si="13"/>
        <v>0</v>
      </c>
      <c r="AC41" s="162">
        <f t="shared" si="14"/>
        <v>0</v>
      </c>
      <c r="AD41" s="162">
        <f t="shared" si="15"/>
        <v>0</v>
      </c>
      <c r="AE41" s="162">
        <f t="shared" si="16"/>
        <v>0</v>
      </c>
      <c r="AF41" s="164">
        <f t="shared" si="17"/>
        <v>0</v>
      </c>
      <c r="AG41" s="165">
        <f t="shared" si="18"/>
        <v>0</v>
      </c>
      <c r="AH41" s="382">
        <f t="shared" si="19"/>
        <v>0</v>
      </c>
    </row>
    <row r="42" spans="1:34" s="64" customFormat="1" x14ac:dyDescent="0.25">
      <c r="A42" s="108" t="e">
        <f>IF(UC_DADOS!$B$2=0,"",UC_DADOS!$B$2)</f>
        <v>#N/A</v>
      </c>
      <c r="B42" s="157"/>
      <c r="C42" s="65"/>
      <c r="D42" s="158"/>
      <c r="E42" s="166"/>
      <c r="F42" s="385"/>
      <c r="G42" s="68"/>
      <c r="H42" s="159">
        <f t="shared" si="1"/>
        <v>0</v>
      </c>
      <c r="I42" s="159">
        <f t="shared" si="2"/>
        <v>0</v>
      </c>
      <c r="J42" s="66"/>
      <c r="K42" s="160">
        <f t="shared" si="3"/>
        <v>0</v>
      </c>
      <c r="L42" s="66"/>
      <c r="M42" s="66"/>
      <c r="N42" s="66"/>
      <c r="O42" s="161">
        <f t="shared" si="4"/>
        <v>0</v>
      </c>
      <c r="P42" s="161">
        <f t="shared" si="5"/>
        <v>0</v>
      </c>
      <c r="Q42" s="161">
        <f t="shared" si="6"/>
        <v>0</v>
      </c>
      <c r="R42" s="65"/>
      <c r="S42" s="68"/>
      <c r="T42" s="167"/>
      <c r="U42" s="385"/>
      <c r="V42" s="162">
        <f t="shared" si="7"/>
        <v>0</v>
      </c>
      <c r="W42" s="162">
        <f t="shared" si="8"/>
        <v>0</v>
      </c>
      <c r="X42" s="162">
        <f t="shared" si="9"/>
        <v>0</v>
      </c>
      <c r="Y42" s="163">
        <f t="shared" si="10"/>
        <v>0</v>
      </c>
      <c r="Z42" s="163">
        <f t="shared" si="11"/>
        <v>0</v>
      </c>
      <c r="AA42" s="162">
        <f t="shared" si="12"/>
        <v>0</v>
      </c>
      <c r="AB42" s="163">
        <f t="shared" si="13"/>
        <v>0</v>
      </c>
      <c r="AC42" s="162">
        <f t="shared" si="14"/>
        <v>0</v>
      </c>
      <c r="AD42" s="162">
        <f t="shared" si="15"/>
        <v>0</v>
      </c>
      <c r="AE42" s="162">
        <f t="shared" si="16"/>
        <v>0</v>
      </c>
      <c r="AF42" s="164">
        <f t="shared" si="17"/>
        <v>0</v>
      </c>
      <c r="AG42" s="165">
        <f t="shared" si="18"/>
        <v>0</v>
      </c>
      <c r="AH42" s="382">
        <f t="shared" si="19"/>
        <v>0</v>
      </c>
    </row>
    <row r="43" spans="1:34" s="64" customFormat="1" x14ac:dyDescent="0.25">
      <c r="A43" s="108" t="e">
        <f>IF(UC_DADOS!$B$2=0,"",UC_DADOS!$B$2)</f>
        <v>#N/A</v>
      </c>
      <c r="B43" s="157"/>
      <c r="C43" s="65"/>
      <c r="D43" s="158"/>
      <c r="E43" s="166"/>
      <c r="F43" s="385"/>
      <c r="G43" s="68"/>
      <c r="H43" s="159">
        <f t="shared" si="1"/>
        <v>0</v>
      </c>
      <c r="I43" s="159">
        <f t="shared" si="2"/>
        <v>0</v>
      </c>
      <c r="J43" s="66"/>
      <c r="K43" s="160">
        <f t="shared" si="3"/>
        <v>0</v>
      </c>
      <c r="L43" s="66"/>
      <c r="M43" s="66"/>
      <c r="N43" s="66"/>
      <c r="O43" s="161">
        <f t="shared" si="4"/>
        <v>0</v>
      </c>
      <c r="P43" s="161">
        <f t="shared" si="5"/>
        <v>0</v>
      </c>
      <c r="Q43" s="161">
        <f t="shared" si="6"/>
        <v>0</v>
      </c>
      <c r="R43" s="65"/>
      <c r="S43" s="68"/>
      <c r="T43" s="167"/>
      <c r="U43" s="385"/>
      <c r="V43" s="162">
        <f t="shared" si="7"/>
        <v>0</v>
      </c>
      <c r="W43" s="162">
        <f t="shared" si="8"/>
        <v>0</v>
      </c>
      <c r="X43" s="162">
        <f t="shared" si="9"/>
        <v>0</v>
      </c>
      <c r="Y43" s="163">
        <f t="shared" si="10"/>
        <v>0</v>
      </c>
      <c r="Z43" s="163">
        <f t="shared" si="11"/>
        <v>0</v>
      </c>
      <c r="AA43" s="162">
        <f t="shared" si="12"/>
        <v>0</v>
      </c>
      <c r="AB43" s="163">
        <f t="shared" si="13"/>
        <v>0</v>
      </c>
      <c r="AC43" s="162">
        <f t="shared" si="14"/>
        <v>0</v>
      </c>
      <c r="AD43" s="162">
        <f t="shared" si="15"/>
        <v>0</v>
      </c>
      <c r="AE43" s="162">
        <f t="shared" si="16"/>
        <v>0</v>
      </c>
      <c r="AF43" s="164">
        <f t="shared" si="17"/>
        <v>0</v>
      </c>
      <c r="AG43" s="165">
        <f t="shared" si="18"/>
        <v>0</v>
      </c>
      <c r="AH43" s="382">
        <f t="shared" si="19"/>
        <v>0</v>
      </c>
    </row>
    <row r="44" spans="1:34" s="64" customFormat="1" x14ac:dyDescent="0.25">
      <c r="A44" s="108" t="e">
        <f>IF(UC_DADOS!$B$2=0,"",UC_DADOS!$B$2)</f>
        <v>#N/A</v>
      </c>
      <c r="B44" s="157"/>
      <c r="C44" s="65"/>
      <c r="D44" s="158"/>
      <c r="E44" s="166"/>
      <c r="F44" s="385"/>
      <c r="G44" s="68"/>
      <c r="H44" s="159">
        <f t="shared" si="1"/>
        <v>0</v>
      </c>
      <c r="I44" s="159">
        <f t="shared" si="2"/>
        <v>0</v>
      </c>
      <c r="J44" s="66"/>
      <c r="K44" s="160">
        <f t="shared" si="3"/>
        <v>0</v>
      </c>
      <c r="L44" s="66"/>
      <c r="M44" s="66"/>
      <c r="N44" s="66"/>
      <c r="O44" s="161">
        <f t="shared" si="4"/>
        <v>0</v>
      </c>
      <c r="P44" s="161">
        <f t="shared" si="5"/>
        <v>0</v>
      </c>
      <c r="Q44" s="161">
        <f t="shared" si="6"/>
        <v>0</v>
      </c>
      <c r="R44" s="65"/>
      <c r="S44" s="68"/>
      <c r="T44" s="167"/>
      <c r="U44" s="385"/>
      <c r="V44" s="162">
        <f t="shared" si="7"/>
        <v>0</v>
      </c>
      <c r="W44" s="162">
        <f t="shared" si="8"/>
        <v>0</v>
      </c>
      <c r="X44" s="162">
        <f t="shared" si="9"/>
        <v>0</v>
      </c>
      <c r="Y44" s="163">
        <f t="shared" si="10"/>
        <v>0</v>
      </c>
      <c r="Z44" s="163">
        <f t="shared" si="11"/>
        <v>0</v>
      </c>
      <c r="AA44" s="162">
        <f t="shared" si="12"/>
        <v>0</v>
      </c>
      <c r="AB44" s="163">
        <f t="shared" si="13"/>
        <v>0</v>
      </c>
      <c r="AC44" s="162">
        <f t="shared" si="14"/>
        <v>0</v>
      </c>
      <c r="AD44" s="162">
        <f t="shared" si="15"/>
        <v>0</v>
      </c>
      <c r="AE44" s="162">
        <f t="shared" si="16"/>
        <v>0</v>
      </c>
      <c r="AF44" s="164">
        <f t="shared" si="17"/>
        <v>0</v>
      </c>
      <c r="AG44" s="165">
        <f t="shared" si="18"/>
        <v>0</v>
      </c>
      <c r="AH44" s="382">
        <f t="shared" si="19"/>
        <v>0</v>
      </c>
    </row>
    <row r="45" spans="1:34" s="64" customFormat="1" x14ac:dyDescent="0.25">
      <c r="A45" s="108" t="e">
        <f>IF(UC_DADOS!$B$2=0,"",UC_DADOS!$B$2)</f>
        <v>#N/A</v>
      </c>
      <c r="B45" s="157"/>
      <c r="C45" s="65"/>
      <c r="D45" s="158"/>
      <c r="E45" s="166"/>
      <c r="F45" s="385"/>
      <c r="G45" s="68"/>
      <c r="H45" s="159">
        <f t="shared" si="1"/>
        <v>0</v>
      </c>
      <c r="I45" s="159">
        <f t="shared" si="2"/>
        <v>0</v>
      </c>
      <c r="J45" s="66"/>
      <c r="K45" s="160">
        <f t="shared" si="3"/>
        <v>0</v>
      </c>
      <c r="L45" s="66"/>
      <c r="M45" s="66"/>
      <c r="N45" s="66"/>
      <c r="O45" s="161">
        <f t="shared" si="4"/>
        <v>0</v>
      </c>
      <c r="P45" s="161">
        <f t="shared" si="5"/>
        <v>0</v>
      </c>
      <c r="Q45" s="161">
        <f t="shared" si="6"/>
        <v>0</v>
      </c>
      <c r="R45" s="65"/>
      <c r="S45" s="68"/>
      <c r="T45" s="167"/>
      <c r="U45" s="385"/>
      <c r="V45" s="162">
        <f t="shared" si="7"/>
        <v>0</v>
      </c>
      <c r="W45" s="162">
        <f t="shared" si="8"/>
        <v>0</v>
      </c>
      <c r="X45" s="162">
        <f t="shared" si="9"/>
        <v>0</v>
      </c>
      <c r="Y45" s="163">
        <f t="shared" si="10"/>
        <v>0</v>
      </c>
      <c r="Z45" s="163">
        <f t="shared" si="11"/>
        <v>0</v>
      </c>
      <c r="AA45" s="162">
        <f t="shared" si="12"/>
        <v>0</v>
      </c>
      <c r="AB45" s="163">
        <f t="shared" si="13"/>
        <v>0</v>
      </c>
      <c r="AC45" s="162">
        <f t="shared" si="14"/>
        <v>0</v>
      </c>
      <c r="AD45" s="162">
        <f t="shared" si="15"/>
        <v>0</v>
      </c>
      <c r="AE45" s="162">
        <f t="shared" si="16"/>
        <v>0</v>
      </c>
      <c r="AF45" s="164">
        <f t="shared" si="17"/>
        <v>0</v>
      </c>
      <c r="AG45" s="165">
        <f t="shared" si="18"/>
        <v>0</v>
      </c>
      <c r="AH45" s="382">
        <f t="shared" si="19"/>
        <v>0</v>
      </c>
    </row>
    <row r="46" spans="1:34" s="64" customFormat="1" x14ac:dyDescent="0.25">
      <c r="A46" s="108" t="e">
        <f>IF(UC_DADOS!$B$2=0,"",UC_DADOS!$B$2)</f>
        <v>#N/A</v>
      </c>
      <c r="B46" s="157"/>
      <c r="C46" s="65"/>
      <c r="D46" s="158"/>
      <c r="E46" s="166"/>
      <c r="F46" s="385"/>
      <c r="G46" s="68"/>
      <c r="H46" s="159">
        <f t="shared" si="1"/>
        <v>0</v>
      </c>
      <c r="I46" s="159">
        <f t="shared" si="2"/>
        <v>0</v>
      </c>
      <c r="J46" s="66"/>
      <c r="K46" s="160">
        <f t="shared" si="3"/>
        <v>0</v>
      </c>
      <c r="L46" s="66"/>
      <c r="M46" s="66"/>
      <c r="N46" s="66"/>
      <c r="O46" s="161">
        <f t="shared" si="4"/>
        <v>0</v>
      </c>
      <c r="P46" s="161">
        <f t="shared" si="5"/>
        <v>0</v>
      </c>
      <c r="Q46" s="161">
        <f t="shared" si="6"/>
        <v>0</v>
      </c>
      <c r="R46" s="65"/>
      <c r="S46" s="68"/>
      <c r="T46" s="167"/>
      <c r="U46" s="385"/>
      <c r="V46" s="162">
        <f t="shared" si="7"/>
        <v>0</v>
      </c>
      <c r="W46" s="162">
        <f t="shared" si="8"/>
        <v>0</v>
      </c>
      <c r="X46" s="162">
        <f t="shared" si="9"/>
        <v>0</v>
      </c>
      <c r="Y46" s="163">
        <f t="shared" si="10"/>
        <v>0</v>
      </c>
      <c r="Z46" s="163">
        <f t="shared" si="11"/>
        <v>0</v>
      </c>
      <c r="AA46" s="162">
        <f t="shared" si="12"/>
        <v>0</v>
      </c>
      <c r="AB46" s="163">
        <f t="shared" si="13"/>
        <v>0</v>
      </c>
      <c r="AC46" s="162">
        <f t="shared" si="14"/>
        <v>0</v>
      </c>
      <c r="AD46" s="162">
        <f t="shared" si="15"/>
        <v>0</v>
      </c>
      <c r="AE46" s="162">
        <f t="shared" si="16"/>
        <v>0</v>
      </c>
      <c r="AF46" s="164">
        <f t="shared" si="17"/>
        <v>0</v>
      </c>
      <c r="AG46" s="165">
        <f t="shared" si="18"/>
        <v>0</v>
      </c>
      <c r="AH46" s="382">
        <f t="shared" si="19"/>
        <v>0</v>
      </c>
    </row>
    <row r="47" spans="1:34" s="64" customFormat="1" x14ac:dyDescent="0.25">
      <c r="A47" s="108" t="e">
        <f>IF(UC_DADOS!$B$2=0,"",UC_DADOS!$B$2)</f>
        <v>#N/A</v>
      </c>
      <c r="B47" s="157"/>
      <c r="C47" s="65"/>
      <c r="D47" s="158"/>
      <c r="E47" s="166"/>
      <c r="F47" s="385"/>
      <c r="G47" s="68"/>
      <c r="H47" s="159">
        <f t="shared" si="1"/>
        <v>0</v>
      </c>
      <c r="I47" s="159">
        <f t="shared" si="2"/>
        <v>0</v>
      </c>
      <c r="J47" s="66"/>
      <c r="K47" s="160">
        <f t="shared" si="3"/>
        <v>0</v>
      </c>
      <c r="L47" s="66"/>
      <c r="M47" s="66"/>
      <c r="N47" s="66"/>
      <c r="O47" s="161">
        <f t="shared" si="4"/>
        <v>0</v>
      </c>
      <c r="P47" s="161">
        <f t="shared" si="5"/>
        <v>0</v>
      </c>
      <c r="Q47" s="161">
        <f t="shared" si="6"/>
        <v>0</v>
      </c>
      <c r="R47" s="65"/>
      <c r="S47" s="68"/>
      <c r="T47" s="167"/>
      <c r="U47" s="385"/>
      <c r="V47" s="162">
        <f t="shared" si="7"/>
        <v>0</v>
      </c>
      <c r="W47" s="162">
        <f t="shared" si="8"/>
        <v>0</v>
      </c>
      <c r="X47" s="162">
        <f t="shared" si="9"/>
        <v>0</v>
      </c>
      <c r="Y47" s="163">
        <f t="shared" si="10"/>
        <v>0</v>
      </c>
      <c r="Z47" s="163">
        <f t="shared" si="11"/>
        <v>0</v>
      </c>
      <c r="AA47" s="162">
        <f t="shared" si="12"/>
        <v>0</v>
      </c>
      <c r="AB47" s="163">
        <f t="shared" si="13"/>
        <v>0</v>
      </c>
      <c r="AC47" s="162">
        <f t="shared" si="14"/>
        <v>0</v>
      </c>
      <c r="AD47" s="162">
        <f t="shared" si="15"/>
        <v>0</v>
      </c>
      <c r="AE47" s="162">
        <f t="shared" si="16"/>
        <v>0</v>
      </c>
      <c r="AF47" s="164">
        <f t="shared" si="17"/>
        <v>0</v>
      </c>
      <c r="AG47" s="165">
        <f t="shared" si="18"/>
        <v>0</v>
      </c>
      <c r="AH47" s="382">
        <f t="shared" si="19"/>
        <v>0</v>
      </c>
    </row>
    <row r="48" spans="1:34" s="64" customFormat="1" x14ac:dyDescent="0.25">
      <c r="A48" s="108" t="e">
        <f>IF(UC_DADOS!$B$2=0,"",UC_DADOS!$B$2)</f>
        <v>#N/A</v>
      </c>
      <c r="B48" s="157"/>
      <c r="C48" s="65"/>
      <c r="D48" s="158"/>
      <c r="E48" s="166"/>
      <c r="F48" s="385"/>
      <c r="G48" s="68"/>
      <c r="H48" s="159">
        <f t="shared" si="1"/>
        <v>0</v>
      </c>
      <c r="I48" s="159">
        <f t="shared" si="2"/>
        <v>0</v>
      </c>
      <c r="J48" s="66"/>
      <c r="K48" s="160">
        <f t="shared" si="3"/>
        <v>0</v>
      </c>
      <c r="L48" s="66"/>
      <c r="M48" s="66"/>
      <c r="N48" s="66"/>
      <c r="O48" s="161">
        <f t="shared" si="4"/>
        <v>0</v>
      </c>
      <c r="P48" s="161">
        <f t="shared" si="5"/>
        <v>0</v>
      </c>
      <c r="Q48" s="161">
        <f t="shared" si="6"/>
        <v>0</v>
      </c>
      <c r="R48" s="65"/>
      <c r="S48" s="68"/>
      <c r="T48" s="167"/>
      <c r="U48" s="385"/>
      <c r="V48" s="162">
        <f t="shared" si="7"/>
        <v>0</v>
      </c>
      <c r="W48" s="162">
        <f t="shared" si="8"/>
        <v>0</v>
      </c>
      <c r="X48" s="162">
        <f t="shared" si="9"/>
        <v>0</v>
      </c>
      <c r="Y48" s="163">
        <f t="shared" si="10"/>
        <v>0</v>
      </c>
      <c r="Z48" s="163">
        <f t="shared" si="11"/>
        <v>0</v>
      </c>
      <c r="AA48" s="162">
        <f t="shared" si="12"/>
        <v>0</v>
      </c>
      <c r="AB48" s="163">
        <f t="shared" si="13"/>
        <v>0</v>
      </c>
      <c r="AC48" s="162">
        <f t="shared" si="14"/>
        <v>0</v>
      </c>
      <c r="AD48" s="162">
        <f t="shared" si="15"/>
        <v>0</v>
      </c>
      <c r="AE48" s="162">
        <f t="shared" si="16"/>
        <v>0</v>
      </c>
      <c r="AF48" s="164">
        <f t="shared" si="17"/>
        <v>0</v>
      </c>
      <c r="AG48" s="165">
        <f t="shared" si="18"/>
        <v>0</v>
      </c>
      <c r="AH48" s="382">
        <f t="shared" si="19"/>
        <v>0</v>
      </c>
    </row>
    <row r="49" spans="1:34" s="64" customFormat="1" x14ac:dyDescent="0.25">
      <c r="A49" s="108" t="e">
        <f>IF(UC_DADOS!$B$2=0,"",UC_DADOS!$B$2)</f>
        <v>#N/A</v>
      </c>
      <c r="B49" s="157"/>
      <c r="C49" s="65"/>
      <c r="D49" s="158"/>
      <c r="E49" s="166"/>
      <c r="F49" s="385"/>
      <c r="G49" s="68"/>
      <c r="H49" s="159">
        <f t="shared" si="1"/>
        <v>0</v>
      </c>
      <c r="I49" s="159">
        <f t="shared" si="2"/>
        <v>0</v>
      </c>
      <c r="J49" s="66"/>
      <c r="K49" s="160">
        <f t="shared" si="3"/>
        <v>0</v>
      </c>
      <c r="L49" s="66"/>
      <c r="M49" s="66"/>
      <c r="N49" s="66"/>
      <c r="O49" s="161">
        <f t="shared" si="4"/>
        <v>0</v>
      </c>
      <c r="P49" s="161">
        <f t="shared" si="5"/>
        <v>0</v>
      </c>
      <c r="Q49" s="161">
        <f t="shared" si="6"/>
        <v>0</v>
      </c>
      <c r="R49" s="65"/>
      <c r="S49" s="68"/>
      <c r="T49" s="167"/>
      <c r="U49" s="385"/>
      <c r="V49" s="162">
        <f t="shared" si="7"/>
        <v>0</v>
      </c>
      <c r="W49" s="162">
        <f t="shared" si="8"/>
        <v>0</v>
      </c>
      <c r="X49" s="162">
        <f t="shared" si="9"/>
        <v>0</v>
      </c>
      <c r="Y49" s="163">
        <f t="shared" si="10"/>
        <v>0</v>
      </c>
      <c r="Z49" s="163">
        <f t="shared" si="11"/>
        <v>0</v>
      </c>
      <c r="AA49" s="162">
        <f t="shared" si="12"/>
        <v>0</v>
      </c>
      <c r="AB49" s="163">
        <f t="shared" si="13"/>
        <v>0</v>
      </c>
      <c r="AC49" s="162">
        <f t="shared" si="14"/>
        <v>0</v>
      </c>
      <c r="AD49" s="162">
        <f t="shared" si="15"/>
        <v>0</v>
      </c>
      <c r="AE49" s="162">
        <f t="shared" si="16"/>
        <v>0</v>
      </c>
      <c r="AF49" s="164">
        <f t="shared" si="17"/>
        <v>0</v>
      </c>
      <c r="AG49" s="165">
        <f t="shared" si="18"/>
        <v>0</v>
      </c>
      <c r="AH49" s="382">
        <f t="shared" si="19"/>
        <v>0</v>
      </c>
    </row>
    <row r="50" spans="1:34" s="64" customFormat="1" x14ac:dyDescent="0.25">
      <c r="A50" s="108" t="e">
        <f>IF(UC_DADOS!$B$2=0,"",UC_DADOS!$B$2)</f>
        <v>#N/A</v>
      </c>
      <c r="B50" s="157"/>
      <c r="C50" s="65"/>
      <c r="D50" s="158"/>
      <c r="E50" s="166"/>
      <c r="F50" s="385"/>
      <c r="G50" s="68"/>
      <c r="H50" s="159">
        <f t="shared" si="1"/>
        <v>0</v>
      </c>
      <c r="I50" s="159">
        <f t="shared" si="2"/>
        <v>0</v>
      </c>
      <c r="J50" s="66"/>
      <c r="K50" s="160">
        <f t="shared" si="3"/>
        <v>0</v>
      </c>
      <c r="L50" s="66"/>
      <c r="M50" s="66"/>
      <c r="N50" s="66"/>
      <c r="O50" s="161">
        <f t="shared" si="4"/>
        <v>0</v>
      </c>
      <c r="P50" s="161">
        <f t="shared" si="5"/>
        <v>0</v>
      </c>
      <c r="Q50" s="161">
        <f t="shared" si="6"/>
        <v>0</v>
      </c>
      <c r="R50" s="65"/>
      <c r="S50" s="68"/>
      <c r="T50" s="167"/>
      <c r="U50" s="385"/>
      <c r="V50" s="162">
        <f t="shared" si="7"/>
        <v>0</v>
      </c>
      <c r="W50" s="162">
        <f t="shared" si="8"/>
        <v>0</v>
      </c>
      <c r="X50" s="162">
        <f t="shared" si="9"/>
        <v>0</v>
      </c>
      <c r="Y50" s="163">
        <f t="shared" si="10"/>
        <v>0</v>
      </c>
      <c r="Z50" s="163">
        <f t="shared" si="11"/>
        <v>0</v>
      </c>
      <c r="AA50" s="162">
        <f t="shared" si="12"/>
        <v>0</v>
      </c>
      <c r="AB50" s="163">
        <f t="shared" si="13"/>
        <v>0</v>
      </c>
      <c r="AC50" s="162">
        <f t="shared" si="14"/>
        <v>0</v>
      </c>
      <c r="AD50" s="162">
        <f t="shared" si="15"/>
        <v>0</v>
      </c>
      <c r="AE50" s="162">
        <f t="shared" si="16"/>
        <v>0</v>
      </c>
      <c r="AF50" s="164">
        <f t="shared" si="17"/>
        <v>0</v>
      </c>
      <c r="AG50" s="165">
        <f t="shared" si="18"/>
        <v>0</v>
      </c>
      <c r="AH50" s="382">
        <f t="shared" si="19"/>
        <v>0</v>
      </c>
    </row>
    <row r="51" spans="1:34" s="64" customFormat="1" x14ac:dyDescent="0.25">
      <c r="A51" s="108" t="e">
        <f>IF(UC_DADOS!$B$2=0,"",UC_DADOS!$B$2)</f>
        <v>#N/A</v>
      </c>
      <c r="B51" s="157"/>
      <c r="C51" s="65"/>
      <c r="D51" s="158"/>
      <c r="E51" s="166"/>
      <c r="F51" s="385"/>
      <c r="G51" s="68"/>
      <c r="H51" s="159">
        <f t="shared" si="1"/>
        <v>0</v>
      </c>
      <c r="I51" s="159">
        <f t="shared" si="2"/>
        <v>0</v>
      </c>
      <c r="J51" s="66"/>
      <c r="K51" s="160">
        <f t="shared" si="3"/>
        <v>0</v>
      </c>
      <c r="L51" s="66"/>
      <c r="M51" s="66"/>
      <c r="N51" s="66"/>
      <c r="O51" s="161">
        <f t="shared" si="4"/>
        <v>0</v>
      </c>
      <c r="P51" s="161">
        <f t="shared" si="5"/>
        <v>0</v>
      </c>
      <c r="Q51" s="161">
        <f t="shared" si="6"/>
        <v>0</v>
      </c>
      <c r="R51" s="65"/>
      <c r="S51" s="68"/>
      <c r="T51" s="167"/>
      <c r="U51" s="385"/>
      <c r="V51" s="162">
        <f t="shared" si="7"/>
        <v>0</v>
      </c>
      <c r="W51" s="162">
        <f t="shared" si="8"/>
        <v>0</v>
      </c>
      <c r="X51" s="162">
        <f t="shared" si="9"/>
        <v>0</v>
      </c>
      <c r="Y51" s="163">
        <f t="shared" si="10"/>
        <v>0</v>
      </c>
      <c r="Z51" s="163">
        <f t="shared" si="11"/>
        <v>0</v>
      </c>
      <c r="AA51" s="162">
        <f t="shared" si="12"/>
        <v>0</v>
      </c>
      <c r="AB51" s="163">
        <f t="shared" si="13"/>
        <v>0</v>
      </c>
      <c r="AC51" s="162">
        <f t="shared" si="14"/>
        <v>0</v>
      </c>
      <c r="AD51" s="162">
        <f t="shared" si="15"/>
        <v>0</v>
      </c>
      <c r="AE51" s="162">
        <f t="shared" si="16"/>
        <v>0</v>
      </c>
      <c r="AF51" s="164">
        <f t="shared" si="17"/>
        <v>0</v>
      </c>
      <c r="AG51" s="165">
        <f t="shared" si="18"/>
        <v>0</v>
      </c>
      <c r="AH51" s="382">
        <f t="shared" si="19"/>
        <v>0</v>
      </c>
    </row>
    <row r="52" spans="1:34" s="64" customFormat="1" x14ac:dyDescent="0.25">
      <c r="A52" s="108" t="e">
        <f>IF(UC_DADOS!$B$2=0,"",UC_DADOS!$B$2)</f>
        <v>#N/A</v>
      </c>
      <c r="B52" s="157"/>
      <c r="C52" s="65"/>
      <c r="D52" s="158"/>
      <c r="E52" s="166"/>
      <c r="F52" s="385"/>
      <c r="G52" s="68"/>
      <c r="H52" s="159">
        <f t="shared" si="1"/>
        <v>0</v>
      </c>
      <c r="I52" s="159">
        <f t="shared" si="2"/>
        <v>0</v>
      </c>
      <c r="J52" s="66"/>
      <c r="K52" s="160">
        <f t="shared" si="3"/>
        <v>0</v>
      </c>
      <c r="L52" s="66"/>
      <c r="M52" s="66"/>
      <c r="N52" s="66"/>
      <c r="O52" s="161">
        <f t="shared" si="4"/>
        <v>0</v>
      </c>
      <c r="P52" s="161">
        <f t="shared" si="5"/>
        <v>0</v>
      </c>
      <c r="Q52" s="161">
        <f t="shared" si="6"/>
        <v>0</v>
      </c>
      <c r="R52" s="65"/>
      <c r="S52" s="68"/>
      <c r="T52" s="167"/>
      <c r="U52" s="385"/>
      <c r="V52" s="162">
        <f t="shared" si="7"/>
        <v>0</v>
      </c>
      <c r="W52" s="162">
        <f t="shared" si="8"/>
        <v>0</v>
      </c>
      <c r="X52" s="162">
        <f t="shared" si="9"/>
        <v>0</v>
      </c>
      <c r="Y52" s="163">
        <f t="shared" si="10"/>
        <v>0</v>
      </c>
      <c r="Z52" s="163">
        <f t="shared" si="11"/>
        <v>0</v>
      </c>
      <c r="AA52" s="162">
        <f t="shared" si="12"/>
        <v>0</v>
      </c>
      <c r="AB52" s="163">
        <f t="shared" si="13"/>
        <v>0</v>
      </c>
      <c r="AC52" s="162">
        <f t="shared" si="14"/>
        <v>0</v>
      </c>
      <c r="AD52" s="162">
        <f t="shared" si="15"/>
        <v>0</v>
      </c>
      <c r="AE52" s="162">
        <f t="shared" si="16"/>
        <v>0</v>
      </c>
      <c r="AF52" s="164">
        <f t="shared" si="17"/>
        <v>0</v>
      </c>
      <c r="AG52" s="165">
        <f t="shared" si="18"/>
        <v>0</v>
      </c>
      <c r="AH52" s="382">
        <f t="shared" si="19"/>
        <v>0</v>
      </c>
    </row>
    <row r="53" spans="1:34" s="64" customFormat="1" x14ac:dyDescent="0.25">
      <c r="A53" s="108" t="e">
        <f>IF(UC_DADOS!$B$2=0,"",UC_DADOS!$B$2)</f>
        <v>#N/A</v>
      </c>
      <c r="B53" s="157"/>
      <c r="C53" s="65"/>
      <c r="D53" s="158"/>
      <c r="E53" s="166"/>
      <c r="F53" s="385"/>
      <c r="G53" s="68"/>
      <c r="H53" s="159">
        <f t="shared" si="1"/>
        <v>0</v>
      </c>
      <c r="I53" s="159">
        <f t="shared" si="2"/>
        <v>0</v>
      </c>
      <c r="J53" s="66"/>
      <c r="K53" s="160">
        <f t="shared" si="3"/>
        <v>0</v>
      </c>
      <c r="L53" s="66"/>
      <c r="M53" s="66"/>
      <c r="N53" s="66"/>
      <c r="O53" s="161">
        <f t="shared" si="4"/>
        <v>0</v>
      </c>
      <c r="P53" s="161">
        <f t="shared" si="5"/>
        <v>0</v>
      </c>
      <c r="Q53" s="161">
        <f t="shared" si="6"/>
        <v>0</v>
      </c>
      <c r="R53" s="65"/>
      <c r="S53" s="68"/>
      <c r="T53" s="167"/>
      <c r="U53" s="385"/>
      <c r="V53" s="162">
        <f t="shared" si="7"/>
        <v>0</v>
      </c>
      <c r="W53" s="162">
        <f t="shared" si="8"/>
        <v>0</v>
      </c>
      <c r="X53" s="162">
        <f t="shared" si="9"/>
        <v>0</v>
      </c>
      <c r="Y53" s="163">
        <f t="shared" si="10"/>
        <v>0</v>
      </c>
      <c r="Z53" s="163">
        <f t="shared" si="11"/>
        <v>0</v>
      </c>
      <c r="AA53" s="162">
        <f t="shared" si="12"/>
        <v>0</v>
      </c>
      <c r="AB53" s="163">
        <f t="shared" si="13"/>
        <v>0</v>
      </c>
      <c r="AC53" s="162">
        <f t="shared" si="14"/>
        <v>0</v>
      </c>
      <c r="AD53" s="162">
        <f t="shared" si="15"/>
        <v>0</v>
      </c>
      <c r="AE53" s="162">
        <f t="shared" si="16"/>
        <v>0</v>
      </c>
      <c r="AF53" s="164">
        <f t="shared" si="17"/>
        <v>0</v>
      </c>
      <c r="AG53" s="165">
        <f t="shared" si="18"/>
        <v>0</v>
      </c>
      <c r="AH53" s="382">
        <f t="shared" si="19"/>
        <v>0</v>
      </c>
    </row>
    <row r="54" spans="1:34" s="64" customFormat="1" x14ac:dyDescent="0.25">
      <c r="A54" s="108" t="e">
        <f>IF(UC_DADOS!$B$2=0,"",UC_DADOS!$B$2)</f>
        <v>#N/A</v>
      </c>
      <c r="B54" s="157"/>
      <c r="C54" s="65"/>
      <c r="D54" s="158"/>
      <c r="E54" s="166"/>
      <c r="F54" s="385"/>
      <c r="G54" s="68"/>
      <c r="H54" s="159">
        <f t="shared" si="1"/>
        <v>0</v>
      </c>
      <c r="I54" s="159">
        <f t="shared" si="2"/>
        <v>0</v>
      </c>
      <c r="J54" s="66"/>
      <c r="K54" s="160">
        <f t="shared" si="3"/>
        <v>0</v>
      </c>
      <c r="L54" s="66"/>
      <c r="M54" s="66"/>
      <c r="N54" s="66"/>
      <c r="O54" s="161">
        <f t="shared" si="4"/>
        <v>0</v>
      </c>
      <c r="P54" s="161">
        <f t="shared" si="5"/>
        <v>0</v>
      </c>
      <c r="Q54" s="161">
        <f t="shared" si="6"/>
        <v>0</v>
      </c>
      <c r="R54" s="65"/>
      <c r="S54" s="68"/>
      <c r="T54" s="167"/>
      <c r="U54" s="385"/>
      <c r="V54" s="162">
        <f t="shared" si="7"/>
        <v>0</v>
      </c>
      <c r="W54" s="162">
        <f t="shared" si="8"/>
        <v>0</v>
      </c>
      <c r="X54" s="162">
        <f t="shared" si="9"/>
        <v>0</v>
      </c>
      <c r="Y54" s="163">
        <f t="shared" si="10"/>
        <v>0</v>
      </c>
      <c r="Z54" s="163">
        <f t="shared" si="11"/>
        <v>0</v>
      </c>
      <c r="AA54" s="162">
        <f t="shared" si="12"/>
        <v>0</v>
      </c>
      <c r="AB54" s="163">
        <f t="shared" si="13"/>
        <v>0</v>
      </c>
      <c r="AC54" s="162">
        <f t="shared" si="14"/>
        <v>0</v>
      </c>
      <c r="AD54" s="162">
        <f t="shared" si="15"/>
        <v>0</v>
      </c>
      <c r="AE54" s="162">
        <f t="shared" si="16"/>
        <v>0</v>
      </c>
      <c r="AF54" s="164">
        <f t="shared" si="17"/>
        <v>0</v>
      </c>
      <c r="AG54" s="165">
        <f t="shared" si="18"/>
        <v>0</v>
      </c>
      <c r="AH54" s="382">
        <f t="shared" si="19"/>
        <v>0</v>
      </c>
    </row>
    <row r="55" spans="1:34" s="64" customFormat="1" x14ac:dyDescent="0.25">
      <c r="A55" s="108" t="e">
        <f>IF(UC_DADOS!$B$2=0,"",UC_DADOS!$B$2)</f>
        <v>#N/A</v>
      </c>
      <c r="B55" s="157"/>
      <c r="C55" s="65"/>
      <c r="D55" s="158"/>
      <c r="E55" s="166"/>
      <c r="F55" s="385"/>
      <c r="G55" s="68"/>
      <c r="H55" s="159">
        <f t="shared" si="1"/>
        <v>0</v>
      </c>
      <c r="I55" s="159">
        <f t="shared" si="2"/>
        <v>0</v>
      </c>
      <c r="J55" s="66"/>
      <c r="K55" s="160">
        <f t="shared" si="3"/>
        <v>0</v>
      </c>
      <c r="L55" s="66"/>
      <c r="M55" s="66"/>
      <c r="N55" s="66"/>
      <c r="O55" s="161">
        <f t="shared" si="4"/>
        <v>0</v>
      </c>
      <c r="P55" s="161">
        <f t="shared" si="5"/>
        <v>0</v>
      </c>
      <c r="Q55" s="161">
        <f t="shared" si="6"/>
        <v>0</v>
      </c>
      <c r="R55" s="65"/>
      <c r="S55" s="68"/>
      <c r="T55" s="167"/>
      <c r="U55" s="385"/>
      <c r="V55" s="162">
        <f t="shared" si="7"/>
        <v>0</v>
      </c>
      <c r="W55" s="162">
        <f t="shared" si="8"/>
        <v>0</v>
      </c>
      <c r="X55" s="162">
        <f t="shared" si="9"/>
        <v>0</v>
      </c>
      <c r="Y55" s="163">
        <f t="shared" si="10"/>
        <v>0</v>
      </c>
      <c r="Z55" s="163">
        <f t="shared" si="11"/>
        <v>0</v>
      </c>
      <c r="AA55" s="162">
        <f t="shared" si="12"/>
        <v>0</v>
      </c>
      <c r="AB55" s="163">
        <f t="shared" si="13"/>
        <v>0</v>
      </c>
      <c r="AC55" s="162">
        <f t="shared" si="14"/>
        <v>0</v>
      </c>
      <c r="AD55" s="162">
        <f t="shared" si="15"/>
        <v>0</v>
      </c>
      <c r="AE55" s="162">
        <f t="shared" si="16"/>
        <v>0</v>
      </c>
      <c r="AF55" s="164">
        <f t="shared" si="17"/>
        <v>0</v>
      </c>
      <c r="AG55" s="165">
        <f t="shared" si="18"/>
        <v>0</v>
      </c>
      <c r="AH55" s="382">
        <f t="shared" si="19"/>
        <v>0</v>
      </c>
    </row>
    <row r="56" spans="1:34" s="64" customFormat="1" x14ac:dyDescent="0.25">
      <c r="A56" s="108" t="e">
        <f>IF(UC_DADOS!$B$2=0,"",UC_DADOS!$B$2)</f>
        <v>#N/A</v>
      </c>
      <c r="B56" s="157"/>
      <c r="C56" s="65"/>
      <c r="D56" s="158"/>
      <c r="E56" s="166"/>
      <c r="F56" s="385"/>
      <c r="G56" s="68"/>
      <c r="H56" s="159">
        <f t="shared" si="1"/>
        <v>0</v>
      </c>
      <c r="I56" s="159">
        <f t="shared" si="2"/>
        <v>0</v>
      </c>
      <c r="J56" s="66"/>
      <c r="K56" s="160">
        <f t="shared" si="3"/>
        <v>0</v>
      </c>
      <c r="L56" s="66"/>
      <c r="M56" s="66"/>
      <c r="N56" s="66"/>
      <c r="O56" s="161">
        <f t="shared" si="4"/>
        <v>0</v>
      </c>
      <c r="P56" s="161">
        <f t="shared" si="5"/>
        <v>0</v>
      </c>
      <c r="Q56" s="161">
        <f t="shared" si="6"/>
        <v>0</v>
      </c>
      <c r="R56" s="65"/>
      <c r="S56" s="68"/>
      <c r="T56" s="167"/>
      <c r="U56" s="385"/>
      <c r="V56" s="162">
        <f t="shared" si="7"/>
        <v>0</v>
      </c>
      <c r="W56" s="162">
        <f t="shared" si="8"/>
        <v>0</v>
      </c>
      <c r="X56" s="162">
        <f t="shared" si="9"/>
        <v>0</v>
      </c>
      <c r="Y56" s="163">
        <f t="shared" si="10"/>
        <v>0</v>
      </c>
      <c r="Z56" s="163">
        <f t="shared" si="11"/>
        <v>0</v>
      </c>
      <c r="AA56" s="162">
        <f t="shared" si="12"/>
        <v>0</v>
      </c>
      <c r="AB56" s="163">
        <f t="shared" si="13"/>
        <v>0</v>
      </c>
      <c r="AC56" s="162">
        <f t="shared" si="14"/>
        <v>0</v>
      </c>
      <c r="AD56" s="162">
        <f t="shared" si="15"/>
        <v>0</v>
      </c>
      <c r="AE56" s="162">
        <f t="shared" si="16"/>
        <v>0</v>
      </c>
      <c r="AF56" s="164">
        <f t="shared" si="17"/>
        <v>0</v>
      </c>
      <c r="AG56" s="165">
        <f t="shared" si="18"/>
        <v>0</v>
      </c>
      <c r="AH56" s="382">
        <f t="shared" si="19"/>
        <v>0</v>
      </c>
    </row>
    <row r="57" spans="1:34" s="64" customFormat="1" x14ac:dyDescent="0.25">
      <c r="A57" s="108" t="e">
        <f>IF(UC_DADOS!$B$2=0,"",UC_DADOS!$B$2)</f>
        <v>#N/A</v>
      </c>
      <c r="B57" s="157"/>
      <c r="C57" s="65"/>
      <c r="D57" s="158"/>
      <c r="E57" s="166"/>
      <c r="F57" s="385"/>
      <c r="G57" s="68"/>
      <c r="H57" s="159">
        <f>C57*0.736*G57</f>
        <v>0</v>
      </c>
      <c r="I57" s="159">
        <f>H57*D57</f>
        <v>0</v>
      </c>
      <c r="J57" s="66"/>
      <c r="K57" s="160">
        <f>J57*L57*M57</f>
        <v>0</v>
      </c>
      <c r="L57" s="66"/>
      <c r="M57" s="66"/>
      <c r="N57" s="66"/>
      <c r="O57" s="161">
        <f>L57*M57*N57/765</f>
        <v>0</v>
      </c>
      <c r="P57" s="161">
        <f>(K57*I57)/1000</f>
        <v>0</v>
      </c>
      <c r="Q57" s="161">
        <f>O57*I57</f>
        <v>0</v>
      </c>
      <c r="R57" s="65"/>
      <c r="S57" s="68"/>
      <c r="T57" s="167"/>
      <c r="U57" s="385"/>
      <c r="V57" s="162">
        <f>G57</f>
        <v>0</v>
      </c>
      <c r="W57" s="162">
        <f>R57*V57*0.736</f>
        <v>0</v>
      </c>
      <c r="X57" s="162">
        <f>W57*S57</f>
        <v>0</v>
      </c>
      <c r="Y57" s="163">
        <f t="shared" si="0"/>
        <v>0</v>
      </c>
      <c r="Z57" s="163">
        <f t="shared" si="0"/>
        <v>0</v>
      </c>
      <c r="AA57" s="162">
        <f t="shared" si="0"/>
        <v>0</v>
      </c>
      <c r="AB57" s="163">
        <f t="shared" si="0"/>
        <v>0</v>
      </c>
      <c r="AC57" s="162">
        <f>Z57*AA57*AB57/765</f>
        <v>0</v>
      </c>
      <c r="AD57" s="162">
        <f>(Y57*X57)/1000</f>
        <v>0</v>
      </c>
      <c r="AE57" s="162">
        <f>AC57*X57</f>
        <v>0</v>
      </c>
      <c r="AF57" s="164">
        <f>AE57-Q57</f>
        <v>0</v>
      </c>
      <c r="AG57" s="165">
        <f>P57-AD57</f>
        <v>0</v>
      </c>
      <c r="AH57" s="382">
        <f>AG57/1000</f>
        <v>0</v>
      </c>
    </row>
    <row r="58" spans="1:34" s="64" customFormat="1" x14ac:dyDescent="0.25">
      <c r="A58" s="168" t="e">
        <f>IF(UC_DADOS!$B$2=0,"",UC_DADOS!$B$2)</f>
        <v>#N/A</v>
      </c>
      <c r="B58" s="169"/>
      <c r="C58" s="170"/>
      <c r="D58" s="171"/>
      <c r="E58" s="172"/>
      <c r="F58" s="386"/>
      <c r="G58" s="173"/>
      <c r="H58" s="159">
        <f>C58*0.736*G58</f>
        <v>0</v>
      </c>
      <c r="I58" s="174">
        <f>H58*D58</f>
        <v>0</v>
      </c>
      <c r="J58" s="175"/>
      <c r="K58" s="176">
        <f>J58*L58*M58</f>
        <v>0</v>
      </c>
      <c r="L58" s="175"/>
      <c r="M58" s="175"/>
      <c r="N58" s="175"/>
      <c r="O58" s="161">
        <f>L58*M58*N58/765</f>
        <v>0</v>
      </c>
      <c r="P58" s="177">
        <f>(K58*I58)/1000</f>
        <v>0</v>
      </c>
      <c r="Q58" s="177">
        <f>O58*I58</f>
        <v>0</v>
      </c>
      <c r="R58" s="170"/>
      <c r="S58" s="173"/>
      <c r="T58" s="172"/>
      <c r="U58" s="386"/>
      <c r="V58" s="162">
        <f>G58</f>
        <v>0</v>
      </c>
      <c r="W58" s="162">
        <f>R58*V58*0.736</f>
        <v>0</v>
      </c>
      <c r="X58" s="162">
        <f>W58*S58</f>
        <v>0</v>
      </c>
      <c r="Y58" s="163">
        <f t="shared" si="0"/>
        <v>0</v>
      </c>
      <c r="Z58" s="163">
        <f t="shared" si="0"/>
        <v>0</v>
      </c>
      <c r="AA58" s="162">
        <f t="shared" si="0"/>
        <v>0</v>
      </c>
      <c r="AB58" s="163">
        <f t="shared" si="0"/>
        <v>0</v>
      </c>
      <c r="AC58" s="162">
        <f>Z58*AA58*AB58/765</f>
        <v>0</v>
      </c>
      <c r="AD58" s="178">
        <f>(Y58*X58)/1000</f>
        <v>0</v>
      </c>
      <c r="AE58" s="178">
        <f>AC58*X58</f>
        <v>0</v>
      </c>
      <c r="AF58" s="179">
        <f>AE58-Q58</f>
        <v>0</v>
      </c>
      <c r="AG58" s="180">
        <f>P58-AD58</f>
        <v>0</v>
      </c>
      <c r="AH58" s="387">
        <f>AG58/1000</f>
        <v>0</v>
      </c>
    </row>
    <row r="59" spans="1:34" x14ac:dyDescent="0.25">
      <c r="A59" s="181"/>
      <c r="B59" s="182" t="s">
        <v>575</v>
      </c>
      <c r="C59" s="154">
        <f>SUM(C3:C58)</f>
        <v>0</v>
      </c>
      <c r="D59" s="153"/>
      <c r="E59" s="153"/>
      <c r="F59" s="153"/>
      <c r="G59" s="154">
        <f>SUM(G3:G58)</f>
        <v>0</v>
      </c>
      <c r="H59" s="154">
        <f>SUM(H3:H58)</f>
        <v>0</v>
      </c>
      <c r="I59" s="154">
        <f>SUM(I3:I58)</f>
        <v>0</v>
      </c>
      <c r="J59" s="153"/>
      <c r="K59" s="153"/>
      <c r="L59" s="153"/>
      <c r="M59" s="153"/>
      <c r="N59" s="153"/>
      <c r="O59" s="153"/>
      <c r="P59" s="154">
        <f>SUM(P3:P58)</f>
        <v>0</v>
      </c>
      <c r="Q59" s="154">
        <f>SUM(Q3:Q58)</f>
        <v>0</v>
      </c>
      <c r="R59" s="154">
        <f>SUM(R3:R58)</f>
        <v>0</v>
      </c>
      <c r="S59" s="153"/>
      <c r="T59" s="153"/>
      <c r="U59" s="153"/>
      <c r="V59" s="154">
        <f>SUM(V3:V58)</f>
        <v>0</v>
      </c>
      <c r="W59" s="154">
        <f>SUM(W3:W58)</f>
        <v>0</v>
      </c>
      <c r="X59" s="154">
        <f>SUM(X3:X58)</f>
        <v>0</v>
      </c>
      <c r="Y59" s="153"/>
      <c r="Z59" s="153"/>
      <c r="AA59" s="153"/>
      <c r="AB59" s="153"/>
      <c r="AC59" s="153"/>
      <c r="AD59" s="154">
        <f>SUM(AD3:AD58)</f>
        <v>0</v>
      </c>
      <c r="AE59" s="154">
        <f>SUM(AE3:AE58)</f>
        <v>0</v>
      </c>
      <c r="AF59" s="154">
        <f>SUM(AF3:AF58)</f>
        <v>0</v>
      </c>
      <c r="AG59" s="154">
        <f>SUM(AG3:AG58)</f>
        <v>0</v>
      </c>
      <c r="AH59" s="154">
        <f>SUM(AH3:AH58)</f>
        <v>0</v>
      </c>
    </row>
  </sheetData>
  <mergeCells count="3">
    <mergeCell ref="AF1:AH1"/>
    <mergeCell ref="C1:Q1"/>
    <mergeCell ref="R1:AE1"/>
  </mergeCells>
  <dataValidations count="2">
    <dataValidation type="whole" allowBlank="1" showInputMessage="1" showErrorMessage="1" sqref="J3:K58" xr:uid="{00000000-0002-0000-0B00-000000000000}">
      <formula1>0</formula1>
      <formula2>24</formula2>
    </dataValidation>
    <dataValidation type="decimal" operator="greaterThanOrEqual" allowBlank="1" showInputMessage="1" showErrorMessage="1" error="O valor precisa ser um número decimal_x000a_" sqref="W3:W58 H3:H58" xr:uid="{00000000-0002-0000-0B00-000001000000}">
      <formula1>0</formula1>
    </dataValidation>
  </dataValidation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zoomScale="85" zoomScaleNormal="85" workbookViewId="0">
      <selection activeCell="C12" sqref="C12:D17"/>
    </sheetView>
  </sheetViews>
  <sheetFormatPr defaultColWidth="8.5703125" defaultRowHeight="15" x14ac:dyDescent="0.25"/>
  <cols>
    <col min="1" max="1" width="27.140625" customWidth="1"/>
    <col min="2" max="2" width="34.85546875" customWidth="1"/>
    <col min="3" max="3" width="27.7109375" customWidth="1"/>
    <col min="4" max="4" width="33.7109375" bestFit="1" customWidth="1"/>
    <col min="5" max="5" width="22" bestFit="1" customWidth="1"/>
    <col min="6" max="6" width="13.85546875" customWidth="1"/>
    <col min="9" max="9" width="42.7109375" customWidth="1"/>
    <col min="10" max="10" width="26.7109375" customWidth="1"/>
    <col min="13" max="13" width="46.7109375" customWidth="1"/>
    <col min="14" max="14" width="26.7109375" customWidth="1"/>
  </cols>
  <sheetData>
    <row r="1" spans="1:6" ht="37.5" x14ac:dyDescent="0.25">
      <c r="A1" s="307" t="s">
        <v>579</v>
      </c>
      <c r="B1" s="308" t="s">
        <v>580</v>
      </c>
      <c r="C1" s="308" t="s">
        <v>581</v>
      </c>
      <c r="D1" s="308" t="s">
        <v>582</v>
      </c>
      <c r="E1" s="311" t="s">
        <v>583</v>
      </c>
      <c r="F1" s="309" t="s">
        <v>584</v>
      </c>
    </row>
    <row r="2" spans="1:6" ht="30.75" customHeight="1" x14ac:dyDescent="0.25">
      <c r="A2" s="310" t="s">
        <v>585</v>
      </c>
      <c r="B2" s="16" t="s">
        <v>586</v>
      </c>
      <c r="C2" s="17"/>
      <c r="D2" s="17"/>
      <c r="E2" s="17"/>
      <c r="F2" s="18"/>
    </row>
    <row r="3" spans="1:6" ht="30.75" customHeight="1" x14ac:dyDescent="0.25">
      <c r="A3" s="312" t="s">
        <v>587</v>
      </c>
      <c r="B3" s="19" t="s">
        <v>588</v>
      </c>
      <c r="C3" s="17"/>
      <c r="D3" s="17"/>
      <c r="E3" s="17"/>
      <c r="F3" s="18"/>
    </row>
    <row r="4" spans="1:6" ht="30.75" customHeight="1" x14ac:dyDescent="0.25">
      <c r="A4" s="310" t="s">
        <v>589</v>
      </c>
      <c r="B4" s="20" t="s">
        <v>590</v>
      </c>
      <c r="C4" s="17"/>
      <c r="D4" s="17"/>
      <c r="E4" s="17"/>
      <c r="F4" s="18"/>
    </row>
    <row r="5" spans="1:6" ht="30.75" customHeight="1" x14ac:dyDescent="0.25">
      <c r="A5" s="310" t="s">
        <v>591</v>
      </c>
      <c r="B5" s="20" t="s">
        <v>592</v>
      </c>
      <c r="C5" s="17"/>
      <c r="D5" s="17"/>
      <c r="E5" s="17"/>
      <c r="F5" s="18"/>
    </row>
    <row r="6" spans="1:6" ht="30.75" customHeight="1" x14ac:dyDescent="0.25">
      <c r="A6" s="310" t="s">
        <v>593</v>
      </c>
      <c r="B6" s="20" t="s">
        <v>594</v>
      </c>
      <c r="C6" s="17"/>
      <c r="D6" s="17"/>
      <c r="E6" s="17"/>
      <c r="F6" s="18"/>
    </row>
    <row r="7" spans="1:6" ht="30.75" customHeight="1" x14ac:dyDescent="0.25">
      <c r="A7" s="310" t="s">
        <v>595</v>
      </c>
      <c r="B7" s="20" t="s">
        <v>596</v>
      </c>
      <c r="C7" s="17"/>
      <c r="D7" s="17"/>
      <c r="E7" s="17"/>
      <c r="F7" s="18"/>
    </row>
    <row r="9" spans="1:6" ht="15.75" thickBot="1" x14ac:dyDescent="0.3"/>
    <row r="10" spans="1:6" x14ac:dyDescent="0.25">
      <c r="A10" s="486" t="s">
        <v>597</v>
      </c>
      <c r="B10" s="489" t="s">
        <v>598</v>
      </c>
      <c r="C10" s="482" t="s">
        <v>599</v>
      </c>
      <c r="D10" s="482" t="s">
        <v>600</v>
      </c>
      <c r="E10" s="482" t="s">
        <v>601</v>
      </c>
    </row>
    <row r="11" spans="1:6" x14ac:dyDescent="0.25">
      <c r="A11" s="487"/>
      <c r="B11" s="490"/>
      <c r="C11" s="483"/>
      <c r="D11" s="483"/>
      <c r="E11" s="483"/>
    </row>
    <row r="12" spans="1:6" ht="18.75" x14ac:dyDescent="0.25">
      <c r="A12" s="21" t="s">
        <v>602</v>
      </c>
      <c r="B12" s="22" t="s">
        <v>603</v>
      </c>
      <c r="C12" s="23"/>
      <c r="D12" s="23"/>
      <c r="E12" s="23" t="str">
        <f>IFERROR(IF(D12="","",D12/(C12*'Análise Econômica'!E4)),"")</f>
        <v/>
      </c>
    </row>
    <row r="13" spans="1:6" ht="31.5" x14ac:dyDescent="0.25">
      <c r="A13" s="21" t="s">
        <v>587</v>
      </c>
      <c r="B13" s="22" t="s">
        <v>588</v>
      </c>
      <c r="C13" s="23"/>
      <c r="D13" s="23"/>
      <c r="E13" s="23" t="str">
        <f>IFERROR(IF(D13="","",D13/(C13*'Análise Econômica'!E4)),"")</f>
        <v/>
      </c>
    </row>
    <row r="14" spans="1:6" ht="31.5" x14ac:dyDescent="0.25">
      <c r="A14" s="21" t="s">
        <v>589</v>
      </c>
      <c r="B14" s="22" t="s">
        <v>590</v>
      </c>
      <c r="C14" s="23"/>
      <c r="D14" s="23"/>
      <c r="E14" s="23" t="str">
        <f>IFERROR(IF(D14="","",D14/(C14*'Análise Econômica'!E4)),"")</f>
        <v/>
      </c>
    </row>
    <row r="15" spans="1:6" ht="31.5" x14ac:dyDescent="0.25">
      <c r="A15" s="21" t="s">
        <v>591</v>
      </c>
      <c r="B15" s="22" t="s">
        <v>604</v>
      </c>
      <c r="C15" s="23"/>
      <c r="D15" s="23"/>
      <c r="E15" s="23" t="str">
        <f>IFERROR(IF(D15="","",D15/(C15*'Análise Econômica'!E4)),"")</f>
        <v/>
      </c>
    </row>
    <row r="16" spans="1:6" ht="18.75" x14ac:dyDescent="0.25">
      <c r="A16" s="21" t="s">
        <v>605</v>
      </c>
      <c r="B16" s="22" t="s">
        <v>606</v>
      </c>
      <c r="C16" s="23"/>
      <c r="D16" s="23"/>
      <c r="E16" s="23" t="str">
        <f>IFERROR(IF(D16="","",D16/(C16*'Análise Econômica'!E4)),"")</f>
        <v/>
      </c>
    </row>
    <row r="17" spans="1:14" ht="19.5" thickBot="1" x14ac:dyDescent="0.35">
      <c r="A17" s="480" t="s">
        <v>607</v>
      </c>
      <c r="B17" s="481"/>
      <c r="C17" s="194"/>
      <c r="D17" s="194"/>
      <c r="E17" s="194" t="str">
        <f>IFERROR(IF(D17=0,"",D17/(C17*'Análise Econômica'!E4)),"")</f>
        <v/>
      </c>
    </row>
    <row r="21" spans="1:14" x14ac:dyDescent="0.25">
      <c r="I21" s="484"/>
      <c r="J21" s="485"/>
      <c r="M21" s="484"/>
      <c r="N21" s="485"/>
    </row>
    <row r="22" spans="1:14" x14ac:dyDescent="0.25">
      <c r="I22" s="484"/>
      <c r="J22" s="485"/>
      <c r="M22" s="484"/>
      <c r="N22" s="485"/>
    </row>
    <row r="23" spans="1:14" x14ac:dyDescent="0.25">
      <c r="I23" s="488"/>
      <c r="J23" s="485"/>
      <c r="M23" s="488"/>
      <c r="N23" s="485"/>
    </row>
    <row r="24" spans="1:14" x14ac:dyDescent="0.25">
      <c r="I24" s="238"/>
      <c r="J24" s="237"/>
      <c r="M24" s="238"/>
      <c r="N24" s="237"/>
    </row>
    <row r="25" spans="1:14" x14ac:dyDescent="0.25">
      <c r="I25" s="238"/>
      <c r="J25" s="237"/>
      <c r="M25" s="238"/>
      <c r="N25" s="237"/>
    </row>
    <row r="26" spans="1:14" x14ac:dyDescent="0.25">
      <c r="I26" s="238"/>
      <c r="J26" s="239"/>
      <c r="M26" s="238"/>
      <c r="N26" s="239"/>
    </row>
    <row r="27" spans="1:14" x14ac:dyDescent="0.25">
      <c r="I27" s="484"/>
      <c r="J27" s="485"/>
      <c r="M27" s="484"/>
      <c r="N27" s="485"/>
    </row>
    <row r="28" spans="1:14" x14ac:dyDescent="0.25">
      <c r="I28" s="488"/>
      <c r="J28" s="485"/>
      <c r="M28" s="488"/>
      <c r="N28" s="485"/>
    </row>
    <row r="29" spans="1:14" x14ac:dyDescent="0.25">
      <c r="I29" s="238"/>
      <c r="J29" s="237"/>
      <c r="M29" s="238"/>
      <c r="N29" s="237"/>
    </row>
    <row r="30" spans="1:14" x14ac:dyDescent="0.25">
      <c r="I30" s="238"/>
      <c r="J30" s="237"/>
      <c r="M30" s="238"/>
      <c r="N30" s="237"/>
    </row>
    <row r="31" spans="1:14" x14ac:dyDescent="0.25">
      <c r="I31" s="238"/>
      <c r="J31" s="239"/>
      <c r="M31" s="238"/>
      <c r="N31" s="239"/>
    </row>
    <row r="32" spans="1:14" x14ac:dyDescent="0.25">
      <c r="I32" s="484"/>
      <c r="J32" s="485"/>
      <c r="M32" s="484"/>
      <c r="N32" s="485"/>
    </row>
    <row r="33" spans="9:14" x14ac:dyDescent="0.25">
      <c r="I33" s="238"/>
      <c r="J33" s="237"/>
      <c r="M33" s="238"/>
      <c r="N33" s="237"/>
    </row>
    <row r="34" spans="9:14" x14ac:dyDescent="0.25">
      <c r="I34" s="238"/>
      <c r="J34" s="237"/>
      <c r="M34" s="238"/>
      <c r="N34" s="237"/>
    </row>
    <row r="35" spans="9:14" x14ac:dyDescent="0.25">
      <c r="I35" s="238"/>
      <c r="J35" s="240"/>
      <c r="M35" s="238"/>
      <c r="N35" s="240"/>
    </row>
    <row r="36" spans="9:14" x14ac:dyDescent="0.25">
      <c r="I36" s="238"/>
      <c r="J36" s="239"/>
      <c r="M36" s="238"/>
      <c r="N36" s="239"/>
    </row>
    <row r="37" spans="9:14" x14ac:dyDescent="0.25">
      <c r="I37" s="238"/>
      <c r="J37" s="239"/>
      <c r="M37" s="238"/>
      <c r="N37" s="239"/>
    </row>
  </sheetData>
  <mergeCells count="18">
    <mergeCell ref="B10:B11"/>
    <mergeCell ref="I23:J23"/>
    <mergeCell ref="A17:B17"/>
    <mergeCell ref="C10:C11"/>
    <mergeCell ref="D10:D11"/>
    <mergeCell ref="E10:E11"/>
    <mergeCell ref="M32:N32"/>
    <mergeCell ref="A10:A11"/>
    <mergeCell ref="I22:J22"/>
    <mergeCell ref="M28:N28"/>
    <mergeCell ref="M27:N27"/>
    <mergeCell ref="M22:N22"/>
    <mergeCell ref="I21:J21"/>
    <mergeCell ref="M23:N23"/>
    <mergeCell ref="M21:N21"/>
    <mergeCell ref="I32:J32"/>
    <mergeCell ref="I28:J28"/>
    <mergeCell ref="I27:J27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H79"/>
  <sheetViews>
    <sheetView topLeftCell="A3" zoomScale="70" zoomScaleNormal="70" workbookViewId="0">
      <selection activeCell="B44" sqref="B44"/>
    </sheetView>
  </sheetViews>
  <sheetFormatPr defaultRowHeight="15" x14ac:dyDescent="0.25"/>
  <cols>
    <col min="3" max="3" width="46.7109375" customWidth="1"/>
    <col min="4" max="4" width="26.7109375" customWidth="1"/>
    <col min="7" max="7" width="46.7109375" customWidth="1"/>
    <col min="8" max="8" width="26.7109375" customWidth="1"/>
  </cols>
  <sheetData>
    <row r="2" spans="3:8" ht="15.75" customHeight="1" thickBot="1" x14ac:dyDescent="0.3"/>
    <row r="3" spans="3:8" ht="15.75" customHeight="1" thickBot="1" x14ac:dyDescent="0.3">
      <c r="C3" s="417" t="s">
        <v>608</v>
      </c>
      <c r="D3" s="418"/>
      <c r="E3" s="388"/>
      <c r="F3" s="388"/>
      <c r="G3" s="417" t="s">
        <v>609</v>
      </c>
      <c r="H3" s="418"/>
    </row>
    <row r="4" spans="3:8" ht="15.75" customHeight="1" thickBot="1" x14ac:dyDescent="0.3">
      <c r="C4" s="417" t="s">
        <v>610</v>
      </c>
      <c r="D4" s="418"/>
      <c r="E4" s="388"/>
      <c r="F4" s="388"/>
      <c r="G4" s="417" t="s">
        <v>610</v>
      </c>
      <c r="H4" s="418"/>
    </row>
    <row r="5" spans="3:8" ht="27" customHeight="1" x14ac:dyDescent="0.25">
      <c r="C5" s="419" t="s">
        <v>611</v>
      </c>
      <c r="D5" s="420"/>
      <c r="E5" s="388"/>
      <c r="F5" s="388"/>
      <c r="G5" s="419" t="s">
        <v>612</v>
      </c>
      <c r="H5" s="420"/>
    </row>
    <row r="6" spans="3:8" x14ac:dyDescent="0.25">
      <c r="C6" s="215" t="s">
        <v>613</v>
      </c>
      <c r="D6" s="241">
        <f>'Sistemas de Iluminação'!J96</f>
        <v>0</v>
      </c>
      <c r="E6" s="388"/>
      <c r="F6" s="388"/>
      <c r="G6" s="215" t="s">
        <v>613</v>
      </c>
      <c r="H6" s="241">
        <f>'Sistemas de Refrigeração'!J47</f>
        <v>0</v>
      </c>
    </row>
    <row r="7" spans="3:8" x14ac:dyDescent="0.25">
      <c r="C7" s="215" t="s">
        <v>614</v>
      </c>
      <c r="D7" s="241">
        <f>'Sistemas de Iluminação'!R96</f>
        <v>0</v>
      </c>
      <c r="E7" s="388"/>
      <c r="F7" s="388"/>
      <c r="G7" s="215" t="s">
        <v>614</v>
      </c>
      <c r="H7" s="241">
        <f>'Sistemas de Refrigeração'!S47</f>
        <v>0</v>
      </c>
    </row>
    <row r="8" spans="3:8" ht="15.75" customHeight="1" thickBot="1" x14ac:dyDescent="0.3">
      <c r="C8" s="217" t="s">
        <v>615</v>
      </c>
      <c r="D8" s="218" t="e" vm="1">
        <f>(D7*'Análise Econômica'!E4)/12</f>
        <v>#VALUE!</v>
      </c>
      <c r="E8" s="388"/>
      <c r="F8" s="388"/>
      <c r="G8" s="217" t="s">
        <v>615</v>
      </c>
      <c r="H8" s="218" t="e" vm="1">
        <f>(H7*'Análise Econômica'!E4)/12</f>
        <v>#VALUE!</v>
      </c>
    </row>
    <row r="9" spans="3:8" ht="15.75" customHeight="1" thickBot="1" x14ac:dyDescent="0.3">
      <c r="C9" s="417" t="s">
        <v>616</v>
      </c>
      <c r="D9" s="418"/>
      <c r="E9" s="388"/>
      <c r="F9" s="388"/>
      <c r="G9" s="417" t="s">
        <v>616</v>
      </c>
      <c r="H9" s="418"/>
    </row>
    <row r="10" spans="3:8" x14ac:dyDescent="0.25">
      <c r="C10" s="419" t="s">
        <v>617</v>
      </c>
      <c r="D10" s="420"/>
      <c r="E10" s="388"/>
      <c r="F10" s="388"/>
      <c r="G10" s="419" t="s">
        <v>618</v>
      </c>
      <c r="H10" s="420"/>
    </row>
    <row r="11" spans="3:8" x14ac:dyDescent="0.25">
      <c r="C11" s="215" t="s">
        <v>613</v>
      </c>
      <c r="D11" s="241">
        <f>D6</f>
        <v>0</v>
      </c>
      <c r="E11" s="388"/>
      <c r="F11" s="388"/>
      <c r="G11" s="215" t="s">
        <v>613</v>
      </c>
      <c r="H11" s="241">
        <f>'Sistemas de Refrigeração'!Y47</f>
        <v>0</v>
      </c>
    </row>
    <row r="12" spans="3:8" x14ac:dyDescent="0.25">
      <c r="C12" s="215" t="s">
        <v>614</v>
      </c>
      <c r="D12" s="241">
        <f>D7*(1-'Análise Econômica'!K4)</f>
        <v>0</v>
      </c>
      <c r="E12" s="388"/>
      <c r="F12" s="388"/>
      <c r="G12" s="215" t="s">
        <v>614</v>
      </c>
      <c r="H12" s="241">
        <f>'Sistemas de Refrigeração'!AG47</f>
        <v>0</v>
      </c>
    </row>
    <row r="13" spans="3:8" ht="15.75" customHeight="1" thickBot="1" x14ac:dyDescent="0.3">
      <c r="C13" s="217" t="s">
        <v>619</v>
      </c>
      <c r="D13" s="218" t="e" vm="1">
        <f>(D12*'Análise Econômica'!E4)/12</f>
        <v>#VALUE!</v>
      </c>
      <c r="E13" s="388"/>
      <c r="F13" s="388"/>
      <c r="G13" s="217" t="s">
        <v>619</v>
      </c>
      <c r="H13" s="218" t="e" vm="1">
        <f>(H12*'Análise Econômica'!E4)/12</f>
        <v>#VALUE!</v>
      </c>
    </row>
    <row r="14" spans="3:8" ht="15.75" customHeight="1" thickBot="1" x14ac:dyDescent="0.3">
      <c r="C14" s="417" t="s">
        <v>620</v>
      </c>
      <c r="D14" s="418"/>
      <c r="E14" s="388"/>
      <c r="F14" s="388"/>
      <c r="G14" s="417" t="s">
        <v>620</v>
      </c>
      <c r="H14" s="418"/>
    </row>
    <row r="15" spans="3:8" x14ac:dyDescent="0.25">
      <c r="C15" s="219" t="s">
        <v>621</v>
      </c>
      <c r="D15" s="220">
        <f>D6-D11</f>
        <v>0</v>
      </c>
      <c r="E15" s="388"/>
      <c r="F15" s="388"/>
      <c r="G15" s="219" t="s">
        <v>621</v>
      </c>
      <c r="H15" s="242">
        <f>H6-H11</f>
        <v>0</v>
      </c>
    </row>
    <row r="16" spans="3:8" x14ac:dyDescent="0.25">
      <c r="C16" s="215" t="s">
        <v>622</v>
      </c>
      <c r="D16" s="216">
        <f>D7-D12</f>
        <v>0</v>
      </c>
      <c r="E16" s="388"/>
      <c r="F16" s="388"/>
      <c r="G16" s="215" t="s">
        <v>622</v>
      </c>
      <c r="H16" s="241">
        <f>H7-H12</f>
        <v>0</v>
      </c>
    </row>
    <row r="17" spans="3:8" x14ac:dyDescent="0.25">
      <c r="C17" s="215" t="s">
        <v>623</v>
      </c>
      <c r="D17" s="221" t="e">
        <f>D16/D7</f>
        <v>#DIV/0!</v>
      </c>
      <c r="E17" s="388"/>
      <c r="F17" s="388"/>
      <c r="G17" s="215" t="s">
        <v>623</v>
      </c>
      <c r="H17" s="221" t="e">
        <f>H16/H7</f>
        <v>#DIV/0!</v>
      </c>
    </row>
    <row r="18" spans="3:8" x14ac:dyDescent="0.25">
      <c r="C18" s="215" t="s">
        <v>624</v>
      </c>
      <c r="D18" s="222" t="e" vm="1">
        <f>D8-D13</f>
        <v>#VALUE!</v>
      </c>
      <c r="E18" s="388"/>
      <c r="F18" s="388"/>
      <c r="G18" s="215" t="s">
        <v>624</v>
      </c>
      <c r="H18" s="222" t="e" vm="1">
        <f>H8-H13</f>
        <v>#VALUE!</v>
      </c>
    </row>
    <row r="19" spans="3:8" ht="15.75" customHeight="1" thickBot="1" x14ac:dyDescent="0.3">
      <c r="C19" s="223" t="s">
        <v>625</v>
      </c>
      <c r="D19" s="224">
        <f>-'Análise Econômica'!B39</f>
        <v>299.89999999999998</v>
      </c>
      <c r="E19" s="388"/>
      <c r="F19" s="388"/>
      <c r="G19" s="223" t="s">
        <v>625</v>
      </c>
      <c r="H19" s="224">
        <f>'Análise Econômica'!B59</f>
        <v>0</v>
      </c>
    </row>
    <row r="22" spans="3:8" ht="15.75" customHeight="1" thickBot="1" x14ac:dyDescent="0.3">
      <c r="C22" s="388"/>
      <c r="D22" s="388"/>
      <c r="E22" s="388"/>
      <c r="F22" s="388"/>
      <c r="G22" s="388"/>
      <c r="H22" s="388"/>
    </row>
    <row r="23" spans="3:8" ht="15.75" customHeight="1" thickBot="1" x14ac:dyDescent="0.3">
      <c r="C23" s="417" t="s">
        <v>626</v>
      </c>
      <c r="D23" s="418"/>
      <c r="E23" s="388"/>
      <c r="F23" s="388"/>
      <c r="G23" s="417" t="s">
        <v>627</v>
      </c>
      <c r="H23" s="418"/>
    </row>
    <row r="24" spans="3:8" ht="15.75" customHeight="1" thickBot="1" x14ac:dyDescent="0.3">
      <c r="C24" s="417" t="s">
        <v>610</v>
      </c>
      <c r="D24" s="418"/>
      <c r="E24" s="388"/>
      <c r="F24" s="388"/>
      <c r="G24" s="417" t="s">
        <v>610</v>
      </c>
      <c r="H24" s="418"/>
    </row>
    <row r="25" spans="3:8" ht="27" customHeight="1" x14ac:dyDescent="0.25">
      <c r="C25" s="419" t="s">
        <v>628</v>
      </c>
      <c r="D25" s="420"/>
      <c r="E25" s="388"/>
      <c r="F25" s="388"/>
      <c r="G25" s="419"/>
      <c r="H25" s="420"/>
    </row>
    <row r="26" spans="3:8" x14ac:dyDescent="0.25">
      <c r="C26" s="215" t="s">
        <v>613</v>
      </c>
      <c r="D26" s="241">
        <f>'Sistemas de Cond. Ambiental'!L45</f>
        <v>0</v>
      </c>
      <c r="E26" s="388"/>
      <c r="F26" s="388"/>
      <c r="G26" s="215" t="s">
        <v>613</v>
      </c>
      <c r="H26" s="216"/>
    </row>
    <row r="27" spans="3:8" x14ac:dyDescent="0.25">
      <c r="C27" s="215" t="s">
        <v>614</v>
      </c>
      <c r="D27" s="241">
        <f>'Sistemas de Cond. Ambiental'!T45</f>
        <v>0</v>
      </c>
      <c r="E27" s="388"/>
      <c r="F27" s="388"/>
      <c r="G27" s="215" t="s">
        <v>614</v>
      </c>
      <c r="H27" s="216"/>
    </row>
    <row r="28" spans="3:8" ht="15.75" customHeight="1" thickBot="1" x14ac:dyDescent="0.3">
      <c r="C28" s="217" t="s">
        <v>615</v>
      </c>
      <c r="D28" s="218" t="e" vm="1">
        <f>(D27*'Análise Econômica'!E4)/12</f>
        <v>#VALUE!</v>
      </c>
      <c r="E28" s="388"/>
      <c r="F28" s="388"/>
      <c r="G28" s="217" t="s">
        <v>615</v>
      </c>
      <c r="H28" s="218"/>
    </row>
    <row r="29" spans="3:8" ht="15.75" customHeight="1" thickBot="1" x14ac:dyDescent="0.3">
      <c r="C29" s="417" t="s">
        <v>616</v>
      </c>
      <c r="D29" s="418"/>
      <c r="E29" s="388"/>
      <c r="F29" s="388"/>
      <c r="G29" s="417" t="s">
        <v>616</v>
      </c>
      <c r="H29" s="418"/>
    </row>
    <row r="30" spans="3:8" ht="27" customHeight="1" x14ac:dyDescent="0.25">
      <c r="C30" s="419" t="s">
        <v>629</v>
      </c>
      <c r="D30" s="420"/>
      <c r="E30" s="388"/>
      <c r="F30" s="388"/>
      <c r="G30" s="419"/>
      <c r="H30" s="420"/>
    </row>
    <row r="31" spans="3:8" x14ac:dyDescent="0.25">
      <c r="C31" s="215" t="s">
        <v>613</v>
      </c>
      <c r="D31" s="241">
        <f>'Sistemas de Cond. Ambiental'!AD45</f>
        <v>0</v>
      </c>
      <c r="E31" s="388"/>
      <c r="F31" s="388"/>
      <c r="G31" s="215" t="s">
        <v>613</v>
      </c>
      <c r="H31" s="216"/>
    </row>
    <row r="32" spans="3:8" x14ac:dyDescent="0.25">
      <c r="C32" s="215" t="s">
        <v>614</v>
      </c>
      <c r="D32" s="241">
        <f>'Sistemas de Cond. Ambiental'!AK45</f>
        <v>0</v>
      </c>
      <c r="E32" s="388"/>
      <c r="F32" s="388"/>
      <c r="G32" s="215" t="s">
        <v>614</v>
      </c>
      <c r="H32" s="216"/>
    </row>
    <row r="33" spans="3:8" ht="15.75" customHeight="1" thickBot="1" x14ac:dyDescent="0.3">
      <c r="C33" s="217" t="s">
        <v>619</v>
      </c>
      <c r="D33" s="218" t="e" vm="1">
        <f>(D32*'Análise Econômica'!E4)/12</f>
        <v>#VALUE!</v>
      </c>
      <c r="E33" s="388"/>
      <c r="F33" s="388"/>
      <c r="G33" s="217" t="s">
        <v>619</v>
      </c>
      <c r="H33" s="218"/>
    </row>
    <row r="34" spans="3:8" ht="15.75" customHeight="1" thickBot="1" x14ac:dyDescent="0.3">
      <c r="C34" s="417" t="s">
        <v>620</v>
      </c>
      <c r="D34" s="418"/>
      <c r="E34" s="388"/>
      <c r="F34" s="388"/>
      <c r="G34" s="417" t="s">
        <v>620</v>
      </c>
      <c r="H34" s="418"/>
    </row>
    <row r="35" spans="3:8" x14ac:dyDescent="0.25">
      <c r="C35" s="219" t="s">
        <v>621</v>
      </c>
      <c r="D35" s="242">
        <f>D26-D31</f>
        <v>0</v>
      </c>
      <c r="E35" s="388"/>
      <c r="F35" s="388"/>
      <c r="G35" s="219" t="s">
        <v>621</v>
      </c>
      <c r="H35" s="220"/>
    </row>
    <row r="36" spans="3:8" x14ac:dyDescent="0.25">
      <c r="C36" s="215" t="s">
        <v>622</v>
      </c>
      <c r="D36" s="241">
        <f>D27-D32</f>
        <v>0</v>
      </c>
      <c r="E36" s="388"/>
      <c r="F36" s="388"/>
      <c r="G36" s="215" t="s">
        <v>622</v>
      </c>
      <c r="H36" s="216"/>
    </row>
    <row r="37" spans="3:8" x14ac:dyDescent="0.25">
      <c r="C37" s="215" t="s">
        <v>623</v>
      </c>
      <c r="D37" s="221" t="e">
        <f>D36/D27</f>
        <v>#DIV/0!</v>
      </c>
      <c r="E37" s="388"/>
      <c r="F37" s="388"/>
      <c r="G37" s="215" t="s">
        <v>623</v>
      </c>
      <c r="H37" s="221"/>
    </row>
    <row r="38" spans="3:8" x14ac:dyDescent="0.25">
      <c r="C38" s="215" t="s">
        <v>624</v>
      </c>
      <c r="D38" s="222" t="e" vm="1">
        <f>D28-D33</f>
        <v>#VALUE!</v>
      </c>
      <c r="E38" s="388"/>
      <c r="F38" s="388"/>
      <c r="G38" s="215" t="s">
        <v>624</v>
      </c>
      <c r="H38" s="222"/>
    </row>
    <row r="39" spans="3:8" ht="15.75" customHeight="1" thickBot="1" x14ac:dyDescent="0.3">
      <c r="C39" s="223" t="s">
        <v>625</v>
      </c>
      <c r="D39" s="245">
        <f>'Análise Econômica'!Q29</f>
        <v>0</v>
      </c>
      <c r="E39" s="388"/>
      <c r="F39" s="388"/>
      <c r="G39" s="223" t="s">
        <v>625</v>
      </c>
      <c r="H39" s="224"/>
    </row>
    <row r="40" spans="3:8" x14ac:dyDescent="0.25">
      <c r="C40" s="388"/>
      <c r="D40" s="226" t="s">
        <v>630</v>
      </c>
      <c r="E40" s="388"/>
      <c r="F40" s="388"/>
      <c r="G40" s="388"/>
      <c r="H40" s="388"/>
    </row>
    <row r="42" spans="3:8" ht="15.75" customHeight="1" thickBot="1" x14ac:dyDescent="0.3">
      <c r="C42" s="388"/>
      <c r="D42" s="388"/>
      <c r="E42" s="388"/>
      <c r="F42" s="388"/>
      <c r="G42" s="388"/>
      <c r="H42" s="388"/>
    </row>
    <row r="43" spans="3:8" ht="15.75" customHeight="1" thickBot="1" x14ac:dyDescent="0.3">
      <c r="C43" s="417" t="s">
        <v>626</v>
      </c>
      <c r="D43" s="418"/>
      <c r="E43" s="388"/>
      <c r="F43" s="388"/>
      <c r="G43" s="417" t="s">
        <v>631</v>
      </c>
      <c r="H43" s="418"/>
    </row>
    <row r="44" spans="3:8" ht="15.75" customHeight="1" thickBot="1" x14ac:dyDescent="0.3">
      <c r="C44" s="417" t="s">
        <v>610</v>
      </c>
      <c r="D44" s="418"/>
      <c r="E44" s="388"/>
      <c r="F44" s="388"/>
      <c r="G44" s="417" t="s">
        <v>610</v>
      </c>
      <c r="H44" s="418"/>
    </row>
    <row r="45" spans="3:8" ht="27" customHeight="1" x14ac:dyDescent="0.25">
      <c r="C45" s="419" t="s">
        <v>632</v>
      </c>
      <c r="D45" s="420"/>
      <c r="E45" s="388"/>
      <c r="F45" s="388"/>
      <c r="G45" s="419" t="s">
        <v>633</v>
      </c>
      <c r="H45" s="420"/>
    </row>
    <row r="46" spans="3:8" x14ac:dyDescent="0.25">
      <c r="C46" s="215" t="s">
        <v>613</v>
      </c>
      <c r="D46" s="241">
        <f>'Sistemas de Cond. Ambiental'!L45</f>
        <v>0</v>
      </c>
      <c r="E46" s="388"/>
      <c r="F46" s="388"/>
      <c r="G46" s="215" t="s">
        <v>613</v>
      </c>
      <c r="H46" s="216"/>
    </row>
    <row r="47" spans="3:8" x14ac:dyDescent="0.25">
      <c r="C47" s="215" t="s">
        <v>614</v>
      </c>
      <c r="D47" s="241">
        <f>'Sistemas de Cond. Ambiental'!T45</f>
        <v>0</v>
      </c>
      <c r="E47" s="388"/>
      <c r="F47" s="388"/>
      <c r="G47" s="215" t="s">
        <v>614</v>
      </c>
      <c r="H47" s="216"/>
    </row>
    <row r="48" spans="3:8" ht="15.75" customHeight="1" thickBot="1" x14ac:dyDescent="0.3">
      <c r="C48" s="217" t="s">
        <v>615</v>
      </c>
      <c r="D48" s="218" t="e" vm="1">
        <f>(D47*'Análise Econômica'!E4)/12</f>
        <v>#VALUE!</v>
      </c>
      <c r="E48" s="388"/>
      <c r="F48" s="388"/>
      <c r="G48" s="217" t="s">
        <v>615</v>
      </c>
      <c r="H48" s="218"/>
    </row>
    <row r="49" spans="3:8" ht="15.75" customHeight="1" thickBot="1" x14ac:dyDescent="0.3">
      <c r="C49" s="417" t="s">
        <v>616</v>
      </c>
      <c r="D49" s="418"/>
      <c r="E49" s="388"/>
      <c r="F49" s="388"/>
      <c r="G49" s="417" t="s">
        <v>616</v>
      </c>
      <c r="H49" s="418"/>
    </row>
    <row r="50" spans="3:8" ht="27" customHeight="1" x14ac:dyDescent="0.25">
      <c r="C50" s="419" t="s">
        <v>634</v>
      </c>
      <c r="D50" s="420"/>
      <c r="E50" s="388"/>
      <c r="F50" s="388"/>
      <c r="G50" s="419" t="s">
        <v>635</v>
      </c>
      <c r="H50" s="420"/>
    </row>
    <row r="51" spans="3:8" x14ac:dyDescent="0.25">
      <c r="C51" s="215" t="s">
        <v>613</v>
      </c>
      <c r="D51" s="241">
        <f>'Sistemas de Cond. Ambiental'!AD45</f>
        <v>0</v>
      </c>
      <c r="E51" s="388"/>
      <c r="F51" s="388"/>
      <c r="G51" s="215" t="s">
        <v>613</v>
      </c>
      <c r="H51" s="216"/>
    </row>
    <row r="52" spans="3:8" x14ac:dyDescent="0.25">
      <c r="C52" s="215" t="s">
        <v>614</v>
      </c>
      <c r="D52" s="241">
        <f>'Sistemas de Cond. Ambiental'!AR45</f>
        <v>0</v>
      </c>
      <c r="E52" s="388"/>
      <c r="F52" s="388"/>
      <c r="G52" s="215" t="s">
        <v>614</v>
      </c>
      <c r="H52" s="216"/>
    </row>
    <row r="53" spans="3:8" ht="15.75" customHeight="1" thickBot="1" x14ac:dyDescent="0.3">
      <c r="C53" s="217" t="s">
        <v>619</v>
      </c>
      <c r="D53" s="218" t="e" vm="1">
        <f>(D52*'Análise Econômica'!E4)/12</f>
        <v>#VALUE!</v>
      </c>
      <c r="E53" s="388"/>
      <c r="F53" s="388"/>
      <c r="G53" s="217" t="s">
        <v>619</v>
      </c>
      <c r="H53" s="218"/>
    </row>
    <row r="54" spans="3:8" ht="15.75" customHeight="1" thickBot="1" x14ac:dyDescent="0.3">
      <c r="C54" s="417" t="s">
        <v>620</v>
      </c>
      <c r="D54" s="418"/>
      <c r="E54" s="388"/>
      <c r="F54" s="388"/>
      <c r="G54" s="417" t="s">
        <v>620</v>
      </c>
      <c r="H54" s="418"/>
    </row>
    <row r="55" spans="3:8" x14ac:dyDescent="0.25">
      <c r="C55" s="219" t="s">
        <v>621</v>
      </c>
      <c r="D55" s="242">
        <f>D46-D51</f>
        <v>0</v>
      </c>
      <c r="E55" s="388"/>
      <c r="F55" s="388"/>
      <c r="G55" s="219" t="s">
        <v>621</v>
      </c>
      <c r="H55" s="220"/>
    </row>
    <row r="56" spans="3:8" x14ac:dyDescent="0.25">
      <c r="C56" s="215" t="s">
        <v>622</v>
      </c>
      <c r="D56" s="241">
        <f>D47-D52</f>
        <v>0</v>
      </c>
      <c r="E56" s="388"/>
      <c r="F56" s="388"/>
      <c r="G56" s="215" t="s">
        <v>622</v>
      </c>
      <c r="H56" s="216"/>
    </row>
    <row r="57" spans="3:8" x14ac:dyDescent="0.25">
      <c r="C57" s="215" t="s">
        <v>623</v>
      </c>
      <c r="D57" s="221" t="e">
        <f>D56/D47</f>
        <v>#DIV/0!</v>
      </c>
      <c r="E57" s="388"/>
      <c r="F57" s="388"/>
      <c r="G57" s="215" t="s">
        <v>623</v>
      </c>
      <c r="H57" s="221"/>
    </row>
    <row r="58" spans="3:8" x14ac:dyDescent="0.25">
      <c r="C58" s="215" t="s">
        <v>624</v>
      </c>
      <c r="D58" s="222" t="e" vm="1">
        <f>D48-D53</f>
        <v>#VALUE!</v>
      </c>
      <c r="E58" s="388"/>
      <c r="F58" s="388"/>
      <c r="G58" s="215" t="s">
        <v>624</v>
      </c>
      <c r="H58" s="222"/>
    </row>
    <row r="59" spans="3:8" ht="15.75" customHeight="1" thickBot="1" x14ac:dyDescent="0.3">
      <c r="C59" s="223" t="s">
        <v>625</v>
      </c>
      <c r="D59" s="224">
        <f>'Análise Econômica'!B29</f>
        <v>0</v>
      </c>
      <c r="E59" s="388"/>
      <c r="F59" s="388"/>
      <c r="G59" s="223" t="s">
        <v>625</v>
      </c>
      <c r="H59" s="224"/>
    </row>
    <row r="62" spans="3:8" ht="15.75" customHeight="1" thickBot="1" x14ac:dyDescent="0.3">
      <c r="C62" s="388"/>
      <c r="D62" s="388"/>
      <c r="E62" s="388"/>
      <c r="F62" s="388"/>
      <c r="G62" s="388"/>
      <c r="H62" s="388"/>
    </row>
    <row r="63" spans="3:8" ht="15.75" customHeight="1" thickBot="1" x14ac:dyDescent="0.3">
      <c r="C63" s="417" t="s">
        <v>626</v>
      </c>
      <c r="D63" s="418"/>
      <c r="E63" s="388"/>
      <c r="F63" s="388"/>
      <c r="G63" s="417" t="s">
        <v>636</v>
      </c>
      <c r="H63" s="418"/>
    </row>
    <row r="64" spans="3:8" ht="15.75" customHeight="1" thickBot="1" x14ac:dyDescent="0.3">
      <c r="C64" s="417" t="s">
        <v>610</v>
      </c>
      <c r="D64" s="418"/>
      <c r="E64" s="388"/>
      <c r="F64" s="388"/>
      <c r="G64" s="417" t="s">
        <v>610</v>
      </c>
      <c r="H64" s="418"/>
    </row>
    <row r="65" spans="3:8" ht="27" customHeight="1" x14ac:dyDescent="0.25">
      <c r="C65" s="419" t="s">
        <v>637</v>
      </c>
      <c r="D65" s="420"/>
      <c r="E65" s="388"/>
      <c r="F65" s="388"/>
      <c r="G65" s="419"/>
      <c r="H65" s="420"/>
    </row>
    <row r="66" spans="3:8" x14ac:dyDescent="0.25">
      <c r="C66" s="215" t="s">
        <v>613</v>
      </c>
      <c r="D66" s="241">
        <f>'Sistemas de Cond. Ambiental'!L45</f>
        <v>0</v>
      </c>
      <c r="E66" s="388"/>
      <c r="F66" s="388"/>
      <c r="G66" s="215" t="s">
        <v>613</v>
      </c>
      <c r="H66" s="216"/>
    </row>
    <row r="67" spans="3:8" x14ac:dyDescent="0.25">
      <c r="C67" s="215" t="s">
        <v>614</v>
      </c>
      <c r="D67" s="241">
        <f>'Sistemas de Cond. Ambiental'!T45</f>
        <v>0</v>
      </c>
      <c r="E67" s="388"/>
      <c r="F67" s="388"/>
      <c r="G67" s="215" t="s">
        <v>614</v>
      </c>
      <c r="H67" s="216"/>
    </row>
    <row r="68" spans="3:8" ht="15.75" customHeight="1" thickBot="1" x14ac:dyDescent="0.3">
      <c r="C68" s="217" t="s">
        <v>615</v>
      </c>
      <c r="D68" s="218" t="e" vm="1">
        <f>(D67*'Análise Econômica'!E4)/12</f>
        <v>#VALUE!</v>
      </c>
      <c r="E68" s="388"/>
      <c r="F68" s="388"/>
      <c r="G68" s="217" t="s">
        <v>615</v>
      </c>
      <c r="H68" s="218"/>
    </row>
    <row r="69" spans="3:8" ht="15.75" customHeight="1" thickBot="1" x14ac:dyDescent="0.3">
      <c r="C69" s="417" t="s">
        <v>616</v>
      </c>
      <c r="D69" s="418"/>
      <c r="E69" s="388"/>
      <c r="F69" s="388"/>
      <c r="G69" s="417" t="s">
        <v>616</v>
      </c>
      <c r="H69" s="418"/>
    </row>
    <row r="70" spans="3:8" ht="27" customHeight="1" x14ac:dyDescent="0.25">
      <c r="C70" s="419" t="s">
        <v>617</v>
      </c>
      <c r="D70" s="420"/>
      <c r="E70" s="388"/>
      <c r="F70" s="388"/>
      <c r="G70" s="419"/>
      <c r="H70" s="420"/>
    </row>
    <row r="71" spans="3:8" x14ac:dyDescent="0.25">
      <c r="C71" s="215" t="s">
        <v>613</v>
      </c>
      <c r="D71" s="241">
        <f>'Sistemas de Cond. Ambiental'!L45</f>
        <v>0</v>
      </c>
      <c r="E71" s="388"/>
      <c r="F71" s="388"/>
      <c r="G71" s="215" t="s">
        <v>613</v>
      </c>
      <c r="H71" s="216"/>
    </row>
    <row r="72" spans="3:8" x14ac:dyDescent="0.25">
      <c r="C72" s="215" t="s">
        <v>614</v>
      </c>
      <c r="D72" s="241">
        <f>'Sistemas de Cond. Ambiental'!AQ45</f>
        <v>0</v>
      </c>
      <c r="E72" s="388"/>
      <c r="F72" s="388"/>
      <c r="G72" s="215" t="s">
        <v>614</v>
      </c>
      <c r="H72" s="216"/>
    </row>
    <row r="73" spans="3:8" ht="15.75" customHeight="1" thickBot="1" x14ac:dyDescent="0.3">
      <c r="C73" s="217" t="s">
        <v>619</v>
      </c>
      <c r="D73" s="218" t="e" vm="1">
        <f>(D72*'Análise Econômica'!E4)/12</f>
        <v>#VALUE!</v>
      </c>
      <c r="E73" s="388"/>
      <c r="F73" s="388"/>
      <c r="G73" s="217" t="s">
        <v>619</v>
      </c>
      <c r="H73" s="218"/>
    </row>
    <row r="74" spans="3:8" ht="15.75" customHeight="1" thickBot="1" x14ac:dyDescent="0.3">
      <c r="C74" s="417" t="s">
        <v>620</v>
      </c>
      <c r="D74" s="418"/>
      <c r="E74" s="388"/>
      <c r="F74" s="388"/>
      <c r="G74" s="417" t="s">
        <v>620</v>
      </c>
      <c r="H74" s="418"/>
    </row>
    <row r="75" spans="3:8" x14ac:dyDescent="0.25">
      <c r="C75" s="219" t="s">
        <v>621</v>
      </c>
      <c r="D75" s="242">
        <f>D66-D71</f>
        <v>0</v>
      </c>
      <c r="E75" s="388"/>
      <c r="F75" s="388"/>
      <c r="G75" s="219" t="s">
        <v>621</v>
      </c>
      <c r="H75" s="220"/>
    </row>
    <row r="76" spans="3:8" x14ac:dyDescent="0.25">
      <c r="C76" s="215" t="s">
        <v>622</v>
      </c>
      <c r="D76" s="241">
        <f>D67-D72</f>
        <v>0</v>
      </c>
      <c r="E76" s="388"/>
      <c r="F76" s="388"/>
      <c r="G76" s="215" t="s">
        <v>622</v>
      </c>
      <c r="H76" s="216"/>
    </row>
    <row r="77" spans="3:8" x14ac:dyDescent="0.25">
      <c r="C77" s="215" t="s">
        <v>623</v>
      </c>
      <c r="D77" s="221" t="e">
        <f>D76/D67</f>
        <v>#DIV/0!</v>
      </c>
      <c r="E77" s="388"/>
      <c r="F77" s="388"/>
      <c r="G77" s="215" t="s">
        <v>623</v>
      </c>
      <c r="H77" s="221"/>
    </row>
    <row r="78" spans="3:8" x14ac:dyDescent="0.25">
      <c r="C78" s="215" t="s">
        <v>624</v>
      </c>
      <c r="D78" s="222" t="e" vm="1">
        <f>D68-D73</f>
        <v>#VALUE!</v>
      </c>
      <c r="E78" s="388"/>
      <c r="F78" s="388"/>
      <c r="G78" s="215" t="s">
        <v>624</v>
      </c>
      <c r="H78" s="222"/>
    </row>
    <row r="79" spans="3:8" ht="15.75" customHeight="1" thickBot="1" x14ac:dyDescent="0.3">
      <c r="C79" s="223" t="s">
        <v>625</v>
      </c>
      <c r="D79" s="389">
        <f>'Análise Econômica'!AF29</f>
        <v>0</v>
      </c>
      <c r="E79" s="388"/>
      <c r="F79" s="388"/>
      <c r="G79" s="223" t="s">
        <v>625</v>
      </c>
      <c r="H79" s="224"/>
    </row>
  </sheetData>
  <mergeCells count="48">
    <mergeCell ref="C34:D34"/>
    <mergeCell ref="G43:H43"/>
    <mergeCell ref="C24:D24"/>
    <mergeCell ref="C5:D5"/>
    <mergeCell ref="G10:H10"/>
    <mergeCell ref="G9:H9"/>
    <mergeCell ref="G25:H25"/>
    <mergeCell ref="C30:D30"/>
    <mergeCell ref="C74:D74"/>
    <mergeCell ref="G70:H70"/>
    <mergeCell ref="C64:D64"/>
    <mergeCell ref="C65:D65"/>
    <mergeCell ref="G69:H69"/>
    <mergeCell ref="G64:H64"/>
    <mergeCell ref="C54:D54"/>
    <mergeCell ref="C63:D63"/>
    <mergeCell ref="C50:D50"/>
    <mergeCell ref="C44:D44"/>
    <mergeCell ref="C45:D45"/>
    <mergeCell ref="G54:H54"/>
    <mergeCell ref="G63:H63"/>
    <mergeCell ref="G50:H50"/>
    <mergeCell ref="G44:H44"/>
    <mergeCell ref="G29:H29"/>
    <mergeCell ref="G4:H4"/>
    <mergeCell ref="C4:D4"/>
    <mergeCell ref="C29:D29"/>
    <mergeCell ref="C10:D10"/>
    <mergeCell ref="C25:D25"/>
    <mergeCell ref="C9:D9"/>
    <mergeCell ref="C14:D14"/>
    <mergeCell ref="G23:H23"/>
    <mergeCell ref="C3:D3"/>
    <mergeCell ref="C69:D69"/>
    <mergeCell ref="C49:D49"/>
    <mergeCell ref="G3:H3"/>
    <mergeCell ref="G74:H74"/>
    <mergeCell ref="G49:H49"/>
    <mergeCell ref="C43:D43"/>
    <mergeCell ref="G34:H34"/>
    <mergeCell ref="G24:H24"/>
    <mergeCell ref="G30:H30"/>
    <mergeCell ref="G5:H5"/>
    <mergeCell ref="G65:H65"/>
    <mergeCell ref="G14:H14"/>
    <mergeCell ref="G45:H45"/>
    <mergeCell ref="C70:D70"/>
    <mergeCell ref="C23:D2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zoomScale="70" zoomScaleNormal="70" workbookViewId="0">
      <selection activeCell="D14" sqref="D14"/>
    </sheetView>
  </sheetViews>
  <sheetFormatPr defaultColWidth="8.5703125" defaultRowHeight="15" x14ac:dyDescent="0.25"/>
  <cols>
    <col min="1" max="1" width="31.5703125" customWidth="1"/>
    <col min="2" max="2" width="13.5703125" customWidth="1"/>
    <col min="3" max="3" width="13.7109375" customWidth="1"/>
  </cols>
  <sheetData>
    <row r="1" spans="1:3" ht="17.25" customHeight="1" x14ac:dyDescent="0.25">
      <c r="A1" s="2" t="s">
        <v>638</v>
      </c>
      <c r="B1" s="3" t="s">
        <v>639</v>
      </c>
      <c r="C1" s="4" t="s">
        <v>640</v>
      </c>
    </row>
    <row r="2" spans="1:3" ht="15" customHeight="1" x14ac:dyDescent="0.25">
      <c r="A2" s="6" t="s">
        <v>602</v>
      </c>
      <c r="B2" s="246">
        <f t="array" ref="B2">IFERROR(LOOKUP(2,1/ISNUMBER('Sistemas de Iluminação'!R:R),'Sistemas de Iluminação'!R:R),0)</f>
        <v>0</v>
      </c>
      <c r="C2" s="72" t="e">
        <f t="shared" ref="C2:C7" si="0">(B2/$B$7)*100</f>
        <v>#DIV/0!</v>
      </c>
    </row>
    <row r="3" spans="1:3" ht="15" customHeight="1" x14ac:dyDescent="0.25">
      <c r="A3" s="6" t="s">
        <v>587</v>
      </c>
      <c r="B3" s="246">
        <f t="array" ref="B3">IFERROR(LOOKUP(2,1/ISNUMBER('Sistemas de Cond. Ambiental'!T:T),'Sistemas de Cond. Ambiental'!T:T),0)</f>
        <v>0</v>
      </c>
      <c r="C3" s="72" t="e">
        <f t="shared" si="0"/>
        <v>#DIV/0!</v>
      </c>
    </row>
    <row r="4" spans="1:3" ht="15" customHeight="1" x14ac:dyDescent="0.25">
      <c r="A4" s="6" t="s">
        <v>641</v>
      </c>
      <c r="B4" s="246">
        <f t="array" ref="B4">IFERROR(LOOKUP(2,1/ISNUMBER('Sistemas de Motor'!P:P),'Sistemas de Motor'!P:P),0)</f>
        <v>0</v>
      </c>
      <c r="C4" s="72" t="e">
        <f t="shared" si="0"/>
        <v>#DIV/0!</v>
      </c>
    </row>
    <row r="5" spans="1:3" ht="15" customHeight="1" x14ac:dyDescent="0.25">
      <c r="A5" s="6" t="s">
        <v>591</v>
      </c>
      <c r="B5" s="247">
        <f t="array" ref="B5">IFERROR(LOOKUP(2,1/ISNUMBER('Sistemas de Refrigeração'!S:S),'Sistemas de Refrigeração'!S:S),0)</f>
        <v>0</v>
      </c>
      <c r="C5" s="72" t="e">
        <f t="shared" si="0"/>
        <v>#DIV/0!</v>
      </c>
    </row>
    <row r="6" spans="1:3" ht="15" customHeight="1" x14ac:dyDescent="0.25">
      <c r="A6" s="6" t="s">
        <v>642</v>
      </c>
      <c r="B6" s="246">
        <f t="array" ref="B6">IFERROR(LOOKUP(2,1/ISNUMBER('Sistemas Outros'!Q:Q),'Sistemas Outros'!Q:Q),0)</f>
        <v>0</v>
      </c>
      <c r="C6" s="72" t="e">
        <f t="shared" si="0"/>
        <v>#DIV/0!</v>
      </c>
    </row>
    <row r="7" spans="1:3" ht="15" customHeight="1" x14ac:dyDescent="0.25">
      <c r="A7" s="14" t="s">
        <v>607</v>
      </c>
      <c r="B7" s="248">
        <f>SUM(B2:B6)</f>
        <v>0</v>
      </c>
      <c r="C7" s="73" t="e">
        <f t="shared" si="0"/>
        <v>#DIV/0!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Y64"/>
  <sheetViews>
    <sheetView topLeftCell="A10" zoomScale="80" zoomScaleNormal="80" workbookViewId="0">
      <selection activeCell="E11" sqref="E11"/>
    </sheetView>
  </sheetViews>
  <sheetFormatPr defaultColWidth="8.5703125" defaultRowHeight="15" x14ac:dyDescent="0.25"/>
  <cols>
    <col min="1" max="1" width="38.42578125" customWidth="1"/>
    <col min="2" max="2" width="27.42578125" customWidth="1"/>
    <col min="3" max="3" width="19" customWidth="1"/>
    <col min="4" max="4" width="17.5703125" customWidth="1"/>
    <col min="5" max="5" width="19.28515625" customWidth="1"/>
    <col min="6" max="6" width="20" customWidth="1"/>
    <col min="7" max="7" width="63.140625" customWidth="1"/>
    <col min="8" max="8" width="19" customWidth="1"/>
    <col min="9" max="9" width="16.5703125" customWidth="1"/>
    <col min="10" max="11" width="34.85546875" customWidth="1"/>
    <col min="12" max="12" width="16.7109375" bestFit="1" customWidth="1"/>
    <col min="13" max="13" width="17.7109375" bestFit="1" customWidth="1"/>
    <col min="14" max="14" width="14.85546875" customWidth="1"/>
    <col min="16" max="16" width="40" customWidth="1"/>
    <col min="17" max="17" width="19.140625" customWidth="1"/>
    <col min="18" max="18" width="19" customWidth="1"/>
    <col min="19" max="27" width="16.5703125" customWidth="1"/>
    <col min="31" max="31" width="40" customWidth="1"/>
    <col min="32" max="32" width="44" bestFit="1" customWidth="1"/>
    <col min="33" max="33" width="18.5703125" bestFit="1" customWidth="1"/>
    <col min="34" max="35" width="16.5703125" bestFit="1" customWidth="1"/>
    <col min="36" max="42" width="15.42578125" customWidth="1"/>
    <col min="43" max="43" width="17.7109375" customWidth="1"/>
    <col min="44" max="44" width="37.140625" customWidth="1"/>
    <col min="45" max="45" width="33" bestFit="1" customWidth="1"/>
    <col min="46" max="47" width="36.85546875" bestFit="1" customWidth="1"/>
    <col min="48" max="48" width="93.5703125" bestFit="1" customWidth="1"/>
    <col min="49" max="49" width="15.42578125" customWidth="1"/>
    <col min="50" max="50" width="13.7109375" customWidth="1"/>
    <col min="51" max="51" width="10" customWidth="1"/>
  </cols>
  <sheetData>
    <row r="2" spans="1:51" ht="15" customHeight="1" x14ac:dyDescent="0.25">
      <c r="A2" s="493" t="s">
        <v>643</v>
      </c>
      <c r="B2" s="494"/>
      <c r="D2" s="493" t="s">
        <v>644</v>
      </c>
      <c r="E2" s="494"/>
      <c r="G2" s="493" t="s">
        <v>645</v>
      </c>
      <c r="H2" s="494"/>
      <c r="J2" s="493" t="s">
        <v>646</v>
      </c>
      <c r="K2" s="494"/>
    </row>
    <row r="3" spans="1:51" ht="15" customHeight="1" x14ac:dyDescent="0.25">
      <c r="A3" s="25" t="s">
        <v>647</v>
      </c>
      <c r="B3" s="25" t="s">
        <v>648</v>
      </c>
      <c r="D3" s="25" t="s">
        <v>649</v>
      </c>
      <c r="E3" s="25" t="s">
        <v>650</v>
      </c>
      <c r="G3" s="26" t="s">
        <v>651</v>
      </c>
      <c r="H3" s="27">
        <v>712.5</v>
      </c>
      <c r="J3" s="25" t="s">
        <v>649</v>
      </c>
      <c r="K3" s="25" t="s">
        <v>652</v>
      </c>
    </row>
    <row r="4" spans="1:51" ht="15" customHeight="1" x14ac:dyDescent="0.25">
      <c r="A4" s="26" t="s">
        <v>653</v>
      </c>
      <c r="B4" s="28">
        <v>0</v>
      </c>
      <c r="D4" s="26" t="s">
        <v>654</v>
      </c>
      <c r="E4" s="315" t="e" cm="1" vm="2">
        <f t="array" ref="E4">(MEDIAN(_xlfn._xlws.FILTER(FATURAS!AQ2:AQ13,FATURAS!AQ2:AQ13&gt;0))*_xlfn.XLOOKUP(MAX(FATURAS!M2:M13),FATURAS!M2:M13,FATURAS!BR2:BR13)+MEDIAN(_xlfn._xlws.FILTER(FATURAS!AR2:AR13,FATURAS!AR2:AR13&gt;0))*_xlfn.XLOOKUP(MAX(FATURAS!M2:M13),FATURAS!M2:M13,FATURAS!BS2:BS13)+IF(ISNUMBER(_xlfn.XLOOKUP(MAX(FATURAS!M2:M13),FATURAS!M2:M13,FATURAS!BZ2:BZ13)),MEDIAN(_xlfn._xlws.FILTER(FATURAS!BA2:BA13,FATURAS!BA2:BA13&gt;0))*_xlfn.XLOOKUP(MAX(FATURAS!M2:M13),FATURAS!M2:M13,FATURAS!BZ2:BZ13)+MEDIAN(_xlfn._xlws.FILTER(FATURAS!BB2:BB13,FATURAS!BB2:BB13&gt;0))*_xlfn.XLOOKUP(MAX(FATURAS!M2:M13),FATURAS!M2:M13,FATURAS!CA2:CA13),MEDIAN(_xlfn._xlws.FILTER(FATURAS!AZ2:AZ13,FATURAS!AZ2:AZ13&gt;0))*_xlfn.XLOOKUP(MAX(FATURAS!M2:M13),FATURAS!M2:M13,FATURAS!BV2:BV13)))/(MEDIAN(_xlfn._xlws.FILTER(FATURAS!AQ2:AQ13,FATURAS!AQ2:AQ13&gt;0))+MEDIAN(_xlfn._xlws.FILTER(FATURAS!AR2:AR13,FATURAS!AR2:AR13&gt;0)))*1000</f>
        <v>#VALUE!</v>
      </c>
      <c r="G4" s="30" t="s">
        <v>655</v>
      </c>
      <c r="H4" s="27">
        <v>1462.5</v>
      </c>
      <c r="J4" s="26" t="s">
        <v>656</v>
      </c>
      <c r="K4" s="31">
        <v>0.1</v>
      </c>
    </row>
    <row r="5" spans="1:51" ht="15" customHeight="1" x14ac:dyDescent="0.25">
      <c r="A5" s="30" t="s">
        <v>657</v>
      </c>
      <c r="B5" s="31">
        <v>0.15</v>
      </c>
      <c r="D5" s="30" t="s">
        <v>658</v>
      </c>
      <c r="E5" s="29" t="e">
        <f>(_xlfn.XLOOKUP(MAX(FATURAS!M2:M13),FATURAS!M2:M13,FATURAS!AF2:AF13)*_xlfn.XLOOKUP(MAX(FATURAS!M2:M13),FATURAS!M2:M13,FATURAS!CG2:CG13)+IF(ISNUMBER(_xlfn.XLOOKUP(MAX(FATURAS!M2:M13),FATURAS!M2:M13,FATURAS!BZ2:BZ13)),_xlfn.XLOOKUP(MAX(FATURAS!M2:M13),FATURAS!M2:M13,FATURAS!BA2:BA13)*_xlfn.XLOOKUP(MAX(FATURAS!M2:M13),FATURAS!M2:M13,FATURAS!BZ2:BZ13)+_xlfn.XLOOKUP(MAX(FATURAS!M2:M13),FATURAS!M2:M13,FATURAS!BB2:BB13)*_xlfn.XLOOKUP(MAX(FATURAS!M2:M13),FATURAS!M2:M13,FATURAS!CA2:CA13),_xlfn.XLOOKUP(MAX(FATURAS!M2:M13),FATURAS!M2:M13,FATURAS!AZ2:AZ13)*_xlfn.XLOOKUP(MAX(FATURAS!M2:M13),FATURAS!M2:M13,FATURAS!BV2:BV13)))/_xlfn.XLOOKUP(MAX(FATURAS!M2:M13),FATURAS!M2:M13,FATURAS!AF2:AF13)*1000</f>
        <v>#N/A</v>
      </c>
      <c r="G5" s="30" t="s">
        <v>659</v>
      </c>
      <c r="H5" s="27">
        <v>179.9</v>
      </c>
    </row>
    <row r="6" spans="1:51" ht="15" customHeight="1" x14ac:dyDescent="0.25">
      <c r="D6" s="32"/>
      <c r="E6" s="33"/>
      <c r="G6" s="30" t="s">
        <v>660</v>
      </c>
      <c r="H6" s="27">
        <v>9.9</v>
      </c>
      <c r="J6" s="493" t="s">
        <v>661</v>
      </c>
      <c r="K6" s="494"/>
    </row>
    <row r="7" spans="1:51" x14ac:dyDescent="0.25">
      <c r="J7" s="25" t="s">
        <v>662</v>
      </c>
      <c r="K7" s="251">
        <f t="array" ref="K7">COUNTA(_xlfn.UNIQUE(_xlfn._xlws.FILTER('Sistemas de Iluminação'!B4:B1048576,'Sistemas de Iluminação'!B4:B1048576&lt;&gt;"","")))</f>
        <v>1</v>
      </c>
    </row>
    <row r="8" spans="1:51" x14ac:dyDescent="0.25">
      <c r="J8" s="25" t="s">
        <v>663</v>
      </c>
      <c r="K8" s="250">
        <v>120</v>
      </c>
    </row>
    <row r="9" spans="1:51" x14ac:dyDescent="0.25">
      <c r="D9" s="493" t="s">
        <v>664</v>
      </c>
      <c r="E9" s="494"/>
    </row>
    <row r="10" spans="1:51" x14ac:dyDescent="0.25">
      <c r="D10" s="26" t="s">
        <v>665</v>
      </c>
      <c r="E10" s="29">
        <f>UC_DADOS!G50</f>
        <v>0</v>
      </c>
      <c r="H10" s="212"/>
      <c r="J10" s="212"/>
    </row>
    <row r="11" spans="1:51" x14ac:dyDescent="0.25">
      <c r="D11" s="30" t="s">
        <v>666</v>
      </c>
      <c r="E11" s="29">
        <f>'Sistemas de Cond. Ambiental'!T45+'Sistemas de Iluminação'!R96+'Sistemas de Refrigeração'!S47+'Sistemas de Motor'!P59+'Sistemas de Aquecimento de Água'!N11+'Sistemas Outros'!Q53</f>
        <v>0</v>
      </c>
      <c r="H11" s="212"/>
      <c r="J11" s="212"/>
    </row>
    <row r="12" spans="1:51" ht="18" customHeight="1" x14ac:dyDescent="0.25">
      <c r="D12" s="30" t="s">
        <v>667</v>
      </c>
      <c r="E12" s="29" t="e">
        <f>E10/E11</f>
        <v>#DIV/0!</v>
      </c>
      <c r="H12" s="212"/>
      <c r="J12" s="212"/>
      <c r="AR12" s="497" t="s">
        <v>668</v>
      </c>
      <c r="AS12" s="468"/>
      <c r="AT12" s="468"/>
      <c r="AU12" s="468"/>
      <c r="AV12" s="468"/>
      <c r="AW12" s="468"/>
      <c r="AX12" s="468"/>
      <c r="AY12" s="469"/>
    </row>
    <row r="13" spans="1:51" ht="45.75" customHeight="1" x14ac:dyDescent="0.25">
      <c r="D13" s="501" t="str">
        <f>IF(AND(B4&gt;=0.9,B4&lt;=1.1),"✓ OK — Fator próximo de 1",
 IF(AND(B4&gt;=0.8,B4&lt;=1.2),"⚠ Aceitável — revisar horários se possível",
 IF(B4&lt;0.8,"❌ Levantamento SUPERIOR às faturas — REDUZIR horas de operação dos equipamentos",
 "❌ Levantamento INFERIOR às faturas — AUMENTAR horas de operação dos equipamentos")))</f>
        <v>❌ Levantamento SUPERIOR às faturas — REDUZIR horas de operação dos equipamentos</v>
      </c>
      <c r="E13" s="502"/>
      <c r="H13" s="212"/>
      <c r="AR13" s="227" t="s">
        <v>669</v>
      </c>
      <c r="AS13" s="227" t="s">
        <v>670</v>
      </c>
      <c r="AT13" s="228" t="s">
        <v>671</v>
      </c>
      <c r="AU13" s="227" t="s">
        <v>672</v>
      </c>
      <c r="AV13" s="229" t="s">
        <v>673</v>
      </c>
      <c r="AW13" s="492" t="e" vm="1">
        <f>IF(C32=MAX(C32,R32,AG32),"T1 — Combinado (Substituição + Automação)",IF(R32=MAX(C32,R32,AG32),"T2 — Substituição (com mão de obra)","T3 — Automação (sem troca)"))</f>
        <v>#VALUE!</v>
      </c>
      <c r="AX13" s="468"/>
      <c r="AY13" s="469"/>
    </row>
    <row r="14" spans="1:51" x14ac:dyDescent="0.25">
      <c r="H14" s="212"/>
      <c r="AR14" s="227" t="s">
        <v>674</v>
      </c>
      <c r="AS14" s="230">
        <f>-B24</f>
        <v>0</v>
      </c>
      <c r="AT14" s="230">
        <f>-Q24</f>
        <v>0</v>
      </c>
      <c r="AU14" s="230">
        <f>-AF24</f>
        <v>0</v>
      </c>
      <c r="AV14" s="229" t="s">
        <v>675</v>
      </c>
      <c r="AW14" s="499" t="e" vm="1">
        <f>IF(C32=MAX(C32,R32,AG32),-B24,IF(R32=MAX(C32,R32,AG32),-Q24,-AF24))</f>
        <v>#VALUE!</v>
      </c>
      <c r="AX14" s="468"/>
      <c r="AY14" s="469"/>
    </row>
    <row r="15" spans="1:51" x14ac:dyDescent="0.25">
      <c r="H15" s="213"/>
      <c r="AR15" s="228" t="s">
        <v>676</v>
      </c>
      <c r="AS15" s="231" t="e" vm="1">
        <f>C25</f>
        <v>#VALUE!</v>
      </c>
      <c r="AT15" s="231" t="e" vm="1">
        <f>R25</f>
        <v>#VALUE!</v>
      </c>
      <c r="AU15" s="230" t="e" vm="1">
        <f>AG25</f>
        <v>#VALUE!</v>
      </c>
      <c r="AV15" s="229" t="s">
        <v>677</v>
      </c>
      <c r="AW15" s="499" t="e" vm="1">
        <f>IF(C32=MAX(C32,R32,AG32),C25,IF(R32=MAX(C32,R32,AG32),R25,AG25))</f>
        <v>#VALUE!</v>
      </c>
      <c r="AX15" s="468"/>
      <c r="AY15" s="469"/>
    </row>
    <row r="16" spans="1:51" x14ac:dyDescent="0.25">
      <c r="AR16" s="227" t="s">
        <v>678</v>
      </c>
      <c r="AS16" s="232" t="e" vm="1">
        <f>C32</f>
        <v>#VALUE!</v>
      </c>
      <c r="AT16" s="232" t="e" vm="1">
        <f>R32</f>
        <v>#VALUE!</v>
      </c>
      <c r="AU16" s="230" t="e" vm="1">
        <f>AG32</f>
        <v>#VALUE!</v>
      </c>
      <c r="AV16" s="229" t="s">
        <v>679</v>
      </c>
      <c r="AW16" s="499" t="e" vm="1">
        <f>MAX(C32,R32,AG32)</f>
        <v>#VALUE!</v>
      </c>
      <c r="AX16" s="468"/>
      <c r="AY16" s="469"/>
    </row>
    <row r="17" spans="1:51" x14ac:dyDescent="0.25">
      <c r="AR17" s="227" t="s">
        <v>680</v>
      </c>
      <c r="AS17" s="233" t="str">
        <f>C30</f>
        <v>N/A</v>
      </c>
      <c r="AT17" s="233" t="str">
        <f>R30</f>
        <v>N/A</v>
      </c>
      <c r="AU17" s="234" t="str">
        <f>AG30</f>
        <v>N/A</v>
      </c>
      <c r="AV17" s="229" t="s">
        <v>681</v>
      </c>
      <c r="AW17" s="495" t="e" vm="1">
        <f>IF(C32=MAX(C32,R32,AG32),C31,IF(R32=MAX(C32,R32,AG32),R31,AG31))</f>
        <v>#VALUE!</v>
      </c>
      <c r="AX17" s="468"/>
      <c r="AY17" s="469"/>
    </row>
    <row r="18" spans="1:51" x14ac:dyDescent="0.25">
      <c r="AR18" s="227" t="s">
        <v>682</v>
      </c>
      <c r="AS18" s="235" t="e" vm="1">
        <f>C31</f>
        <v>#VALUE!</v>
      </c>
      <c r="AT18" s="235" t="e" vm="1">
        <f>R31</f>
        <v>#VALUE!</v>
      </c>
      <c r="AU18" s="236" t="e" vm="1">
        <f>AG31</f>
        <v>#VALUE!</v>
      </c>
      <c r="AV18" s="229" t="s">
        <v>683</v>
      </c>
      <c r="AW18" s="500" t="e" vm="1">
        <f>IF(C32=MAX(C32,R32,AG32),C33,IF(R32=MAX(C32,R32,AG32),R33,AG33))</f>
        <v>#VALUE!</v>
      </c>
      <c r="AX18" s="468"/>
      <c r="AY18" s="469"/>
    </row>
    <row r="19" spans="1:51" x14ac:dyDescent="0.25">
      <c r="AR19" s="227" t="s">
        <v>684</v>
      </c>
      <c r="AS19" s="235" t="e" vm="1">
        <f>C33</f>
        <v>#VALUE!</v>
      </c>
      <c r="AT19" s="235" t="e" vm="1">
        <f>R33</f>
        <v>#VALUE!</v>
      </c>
      <c r="AU19" s="236" t="e" vm="1">
        <f>AG33</f>
        <v>#VALUE!</v>
      </c>
      <c r="AV19" s="507" t="s">
        <v>685</v>
      </c>
      <c r="AW19" s="503" t="s">
        <v>686</v>
      </c>
      <c r="AX19" s="502"/>
      <c r="AY19" s="504"/>
    </row>
    <row r="20" spans="1:51" ht="34.5" customHeight="1" x14ac:dyDescent="0.25">
      <c r="P20" s="243"/>
      <c r="AR20" s="227" t="s">
        <v>687</v>
      </c>
      <c r="AS20" s="496" t="e" vm="1">
        <f>IF(C32=MAX(C32,R32,AG32),"T1 — Combinado (Substituição + Automação)",IF(R32=MAX(C32,R32,AG32),"T2 — Substituição (com mão de obra)","T3 — Automação (sem troca)"))</f>
        <v>#VALUE!</v>
      </c>
      <c r="AT20" s="468"/>
      <c r="AU20" s="469"/>
      <c r="AV20" s="508"/>
      <c r="AW20" s="505"/>
      <c r="AX20" s="494"/>
      <c r="AY20" s="506"/>
    </row>
    <row r="22" spans="1:51" ht="15" customHeight="1" x14ac:dyDescent="0.25">
      <c r="A22" s="491" t="s">
        <v>688</v>
      </c>
      <c r="B22" s="485"/>
      <c r="C22" s="485"/>
      <c r="D22" s="485"/>
      <c r="E22" s="485"/>
      <c r="F22" s="485"/>
      <c r="G22" s="485"/>
      <c r="H22" s="485"/>
      <c r="I22" s="485"/>
      <c r="J22" s="485"/>
      <c r="K22" s="485"/>
      <c r="L22" s="485"/>
      <c r="P22" s="491" t="s">
        <v>689</v>
      </c>
      <c r="Q22" s="485"/>
      <c r="R22" s="485"/>
      <c r="S22" s="485"/>
      <c r="T22" s="485"/>
      <c r="U22" s="485"/>
      <c r="V22" s="485"/>
      <c r="W22" s="485"/>
      <c r="X22" s="485"/>
      <c r="Y22" s="485"/>
      <c r="Z22" s="485"/>
      <c r="AA22" s="485"/>
      <c r="AE22" s="491" t="s">
        <v>690</v>
      </c>
      <c r="AF22" s="485"/>
      <c r="AG22" s="485"/>
      <c r="AH22" s="485"/>
      <c r="AI22" s="485"/>
      <c r="AJ22" s="485"/>
      <c r="AK22" s="485"/>
      <c r="AL22" s="485"/>
      <c r="AM22" s="485"/>
      <c r="AN22" s="485"/>
      <c r="AO22" s="485"/>
      <c r="AP22" s="485"/>
      <c r="AQ22" s="189"/>
    </row>
    <row r="23" spans="1:51" s="36" customFormat="1" ht="17.25" customHeight="1" x14ac:dyDescent="0.25">
      <c r="A23" s="34" t="s">
        <v>691</v>
      </c>
      <c r="B23" s="35">
        <v>0</v>
      </c>
      <c r="C23" s="35">
        <v>1</v>
      </c>
      <c r="D23" s="35">
        <v>2</v>
      </c>
      <c r="E23" s="35">
        <v>3</v>
      </c>
      <c r="F23" s="35">
        <v>4</v>
      </c>
      <c r="G23" s="35">
        <v>5</v>
      </c>
      <c r="H23" s="35">
        <v>6</v>
      </c>
      <c r="I23" s="35">
        <v>7</v>
      </c>
      <c r="J23" s="35">
        <v>8</v>
      </c>
      <c r="K23" s="35">
        <v>9</v>
      </c>
      <c r="L23" s="35">
        <v>10</v>
      </c>
      <c r="P23" s="34" t="s">
        <v>691</v>
      </c>
      <c r="Q23" s="35">
        <v>0</v>
      </c>
      <c r="R23" s="35">
        <v>1</v>
      </c>
      <c r="S23" s="35">
        <v>2</v>
      </c>
      <c r="T23" s="35">
        <v>3</v>
      </c>
      <c r="U23" s="35">
        <v>4</v>
      </c>
      <c r="V23" s="35">
        <v>5</v>
      </c>
      <c r="W23" s="35">
        <v>6</v>
      </c>
      <c r="X23" s="35">
        <v>7</v>
      </c>
      <c r="Y23" s="35">
        <v>8</v>
      </c>
      <c r="Z23" s="35">
        <v>9</v>
      </c>
      <c r="AA23" s="35">
        <v>10</v>
      </c>
      <c r="AE23" s="34" t="s">
        <v>691</v>
      </c>
      <c r="AF23" s="35">
        <v>0</v>
      </c>
      <c r="AG23" s="35">
        <v>1</v>
      </c>
      <c r="AH23" s="35">
        <v>2</v>
      </c>
      <c r="AI23" s="35">
        <v>3</v>
      </c>
      <c r="AJ23" s="35">
        <v>4</v>
      </c>
      <c r="AK23" s="35">
        <v>5</v>
      </c>
      <c r="AL23" s="35">
        <v>6</v>
      </c>
      <c r="AM23" s="35">
        <v>7</v>
      </c>
      <c r="AN23" s="35">
        <v>8</v>
      </c>
      <c r="AO23" s="35">
        <v>9</v>
      </c>
      <c r="AP23" s="35">
        <v>10</v>
      </c>
      <c r="AQ23" s="35"/>
      <c r="AV23" s="32"/>
      <c r="AW23" s="32"/>
      <c r="AX23" s="32"/>
    </row>
    <row r="24" spans="1:51" s="32" customFormat="1" ht="17.25" customHeight="1" x14ac:dyDescent="0.25">
      <c r="A24" s="37" t="s">
        <v>692</v>
      </c>
      <c r="B24" s="38">
        <f t="array" ref="B24">-(SUMPRODUCT(('Sistemas de Cond. Ambiental'!C3:C932&lt;&gt;"")*'Sistemas de Cond. Ambiental'!AO3:AO932)+(H3*SUMPRODUCT(('Sistemas de Cond. Ambiental'!C3:C932&lt;&gt;"")*('Sistemas de Cond. Ambiental'!AN3:AN932&lt;&gt;0)*'Sistemas de Cond. Ambiental'!AA3:AA932))+(H5*SUMPRODUCT(('Sistemas de Cond. Ambiental'!C3:C932&lt;&gt;"")*'Sistemas de Cond. Ambiental'!I3:I932))+(H6*12*SUMPRODUCT(('Sistemas de Cond. Ambiental'!C3:C932&lt;&gt;"")*'Sistemas de Cond. Ambiental'!I3:I932)))</f>
        <v>0</v>
      </c>
      <c r="C24" s="38">
        <f>-($H$6*12*SUMPRODUCT(('Sistemas de Cond. Ambiental'!C3:C932&lt;&gt;"")*'Sistemas de Cond. Ambiental'!I3:I932))</f>
        <v>0</v>
      </c>
      <c r="D24" s="38">
        <f>-($H$6*12*SUMPRODUCT(('Sistemas de Cond. Ambiental'!C3:C932&lt;&gt;"")*'Sistemas de Cond. Ambiental'!I3:I932))</f>
        <v>0</v>
      </c>
      <c r="E24" s="38">
        <f>-($H$6*12*SUMPRODUCT(('Sistemas de Cond. Ambiental'!C3:C932&lt;&gt;"")*'Sistemas de Cond. Ambiental'!I3:I932))</f>
        <v>0</v>
      </c>
      <c r="F24" s="38">
        <f>-($H$6*12*SUMPRODUCT(('Sistemas de Cond. Ambiental'!C3:C932&lt;&gt;"")*'Sistemas de Cond. Ambiental'!I3:I932))</f>
        <v>0</v>
      </c>
      <c r="G24" s="38">
        <f>-($H$6*12*SUMPRODUCT(('Sistemas de Cond. Ambiental'!C3:C932&lt;&gt;"")*'Sistemas de Cond. Ambiental'!I3:I932))</f>
        <v>0</v>
      </c>
      <c r="H24" s="38">
        <f>-($H$6*12*SUMPRODUCT(('Sistemas de Cond. Ambiental'!C3:C932&lt;&gt;"")*'Sistemas de Cond. Ambiental'!I3:I932))</f>
        <v>0</v>
      </c>
      <c r="I24" s="38">
        <f>-($H$6*12*SUMPRODUCT(('Sistemas de Cond. Ambiental'!C3:C932&lt;&gt;"")*'Sistemas de Cond. Ambiental'!I3:I932))</f>
        <v>0</v>
      </c>
      <c r="J24" s="38">
        <f>-($H$6*12*SUMPRODUCT(('Sistemas de Cond. Ambiental'!C3:C932&lt;&gt;"")*'Sistemas de Cond. Ambiental'!I3:I932))</f>
        <v>0</v>
      </c>
      <c r="K24" s="38">
        <f>-($H$6*12*SUMPRODUCT(('Sistemas de Cond. Ambiental'!C3:C932&lt;&gt;"")*'Sistemas de Cond. Ambiental'!I3:I932))</f>
        <v>0</v>
      </c>
      <c r="L24" s="38">
        <f>-($H$6*12*SUMPRODUCT(('Sistemas de Cond. Ambiental'!C3:C932&lt;&gt;"")*'Sistemas de Cond. Ambiental'!I3:I932))</f>
        <v>0</v>
      </c>
      <c r="P24" s="37" t="s">
        <v>692</v>
      </c>
      <c r="Q24" s="38">
        <f t="array" ref="Q24">-(SUMPRODUCT(('Sistemas de Cond. Ambiental'!C3:C932&lt;&gt;"")*'Sistemas de Cond. Ambiental'!AO3:AO932)+(H3*SUMPRODUCT(('Sistemas de Cond. Ambiental'!C3:C932&lt;&gt;"")*('Sistemas de Cond. Ambiental'!AN3:AN932&lt;&gt;0)*'Sistemas de Cond. Ambiental'!AA3:AA932)))</f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E24" s="37" t="s">
        <v>692</v>
      </c>
      <c r="AF24" s="38">
        <f>-((SUMPRODUCT(('Sistemas de Cond. Ambiental'!C3:C932&lt;&gt;"")*'Sistemas de Cond. Ambiental'!I3:I932)*H5)+(H6*12*SUMPRODUCT(('Sistemas de Cond. Ambiental'!C3:C932&lt;&gt;"")*'Sistemas de Cond. Ambiental'!I3:I932)))</f>
        <v>0</v>
      </c>
      <c r="AG24" s="38">
        <f>-($H$6*12*SUMPRODUCT(('Sistemas de Cond. Ambiental'!C3:C932&lt;&gt;"")*'Sistemas de Cond. Ambiental'!I3:I932))</f>
        <v>0</v>
      </c>
      <c r="AH24" s="38">
        <f>-($H$6*12*SUMPRODUCT(('Sistemas de Cond. Ambiental'!C3:C932&lt;&gt;"")*'Sistemas de Cond. Ambiental'!I3:I932))</f>
        <v>0</v>
      </c>
      <c r="AI24" s="38">
        <f>-($H$6*12*SUMPRODUCT(('Sistemas de Cond. Ambiental'!C3:C932&lt;&gt;"")*'Sistemas de Cond. Ambiental'!I3:I932))</f>
        <v>0</v>
      </c>
      <c r="AJ24" s="38">
        <f>-($H$6*12*SUMPRODUCT(('Sistemas de Cond. Ambiental'!C3:C932&lt;&gt;"")*'Sistemas de Cond. Ambiental'!I3:I932))</f>
        <v>0</v>
      </c>
      <c r="AK24" s="38">
        <f>-($H$6*12*SUMPRODUCT(('Sistemas de Cond. Ambiental'!C3:C932&lt;&gt;"")*'Sistemas de Cond. Ambiental'!I3:I932))</f>
        <v>0</v>
      </c>
      <c r="AL24" s="38">
        <f>-($H$6*12*SUMPRODUCT(('Sistemas de Cond. Ambiental'!C3:C932&lt;&gt;"")*'Sistemas de Cond. Ambiental'!I3:I932))</f>
        <v>0</v>
      </c>
      <c r="AM24" s="38">
        <f>-($H$6*12*SUMPRODUCT(('Sistemas de Cond. Ambiental'!C3:C932&lt;&gt;"")*'Sistemas de Cond. Ambiental'!I3:I932))</f>
        <v>0</v>
      </c>
      <c r="AN24" s="38">
        <f>-($H$6*12*SUMPRODUCT(('Sistemas de Cond. Ambiental'!C3:C932&lt;&gt;"")*'Sistemas de Cond. Ambiental'!I3:I932))</f>
        <v>0</v>
      </c>
      <c r="AO24" s="38">
        <f>-($H$6*12*SUMPRODUCT(('Sistemas de Cond. Ambiental'!C3:C932&lt;&gt;"")*'Sistemas de Cond. Ambiental'!I3:I932))</f>
        <v>0</v>
      </c>
      <c r="AP24" s="38">
        <f>-($H$6*12*SUMPRODUCT(('Sistemas de Cond. Ambiental'!C3:C932&lt;&gt;"")*'Sistemas de Cond. Ambiental'!I3:I932))</f>
        <v>0</v>
      </c>
      <c r="AQ24" s="40"/>
    </row>
    <row r="25" spans="1:51" s="41" customFormat="1" ht="17.25" customHeight="1" x14ac:dyDescent="0.25">
      <c r="A25" s="39" t="s">
        <v>693</v>
      </c>
      <c r="B25" s="40">
        <v>0</v>
      </c>
      <c r="C25" s="40" t="e" vm="1">
        <f t="array" ref="C25">(SUMPRODUCT(('Sistemas de Cond. Ambiental'!C3:C932&lt;&gt;"")*'Sistemas de Cond. Ambiental'!AN3:AN932)+(SUMPRODUCT(('Sistemas de Cond. Ambiental'!C3:C932&lt;&gt;"")*'Sistemas de Cond. Ambiental'!T3:T932)-SUMPRODUCT(('Sistemas de Cond. Ambiental'!C3:C932&lt;&gt;"")*'Sistemas de Cond. Ambiental'!AN3:AN932))*$K$4)*$E$4</f>
        <v>#VALUE!</v>
      </c>
      <c r="D25" s="40" t="e" vm="1">
        <f t="shared" ref="D25:L25" si="0">C25</f>
        <v>#VALUE!</v>
      </c>
      <c r="E25" s="40" t="e" vm="1">
        <f t="shared" si="0"/>
        <v>#VALUE!</v>
      </c>
      <c r="F25" s="40" t="e" vm="1">
        <f t="shared" si="0"/>
        <v>#VALUE!</v>
      </c>
      <c r="G25" s="40" t="e" vm="1">
        <f t="shared" si="0"/>
        <v>#VALUE!</v>
      </c>
      <c r="H25" s="40" t="e" vm="1">
        <f t="shared" si="0"/>
        <v>#VALUE!</v>
      </c>
      <c r="I25" s="40" t="e" vm="1">
        <f t="shared" si="0"/>
        <v>#VALUE!</v>
      </c>
      <c r="J25" s="40" t="e" vm="1">
        <f t="shared" si="0"/>
        <v>#VALUE!</v>
      </c>
      <c r="K25" s="40" t="e" vm="1">
        <f t="shared" si="0"/>
        <v>#VALUE!</v>
      </c>
      <c r="L25" s="40" t="e" vm="1">
        <f t="shared" si="0"/>
        <v>#VALUE!</v>
      </c>
      <c r="P25" s="39" t="s">
        <v>693</v>
      </c>
      <c r="Q25" s="40">
        <v>0</v>
      </c>
      <c r="R25" s="40" t="e" vm="1">
        <f>SUMPRODUCT(('Sistemas de Cond. Ambiental'!C3:C932&lt;&gt;"")*'Sistemas de Cond. Ambiental'!AN3:AN932)*'Análise Econômica'!E4</f>
        <v>#VALUE!</v>
      </c>
      <c r="S25" s="40" t="e" vm="1">
        <f t="shared" ref="S25:AA25" si="1">R25</f>
        <v>#VALUE!</v>
      </c>
      <c r="T25" s="40" t="e" vm="1">
        <f t="shared" si="1"/>
        <v>#VALUE!</v>
      </c>
      <c r="U25" s="40" t="e" vm="1">
        <f t="shared" si="1"/>
        <v>#VALUE!</v>
      </c>
      <c r="V25" s="40" t="e" vm="1">
        <f t="shared" si="1"/>
        <v>#VALUE!</v>
      </c>
      <c r="W25" s="40" t="e" vm="1">
        <f t="shared" si="1"/>
        <v>#VALUE!</v>
      </c>
      <c r="X25" s="40" t="e" vm="1">
        <f t="shared" si="1"/>
        <v>#VALUE!</v>
      </c>
      <c r="Y25" s="40" t="e" vm="1">
        <f t="shared" si="1"/>
        <v>#VALUE!</v>
      </c>
      <c r="Z25" s="40" t="e" vm="1">
        <f t="shared" si="1"/>
        <v>#VALUE!</v>
      </c>
      <c r="AA25" s="40" t="e" vm="1">
        <f t="shared" si="1"/>
        <v>#VALUE!</v>
      </c>
      <c r="AE25" s="249" t="s">
        <v>693</v>
      </c>
      <c r="AF25" s="40">
        <v>0</v>
      </c>
      <c r="AG25" s="40" t="e" vm="1">
        <f>SUMPRODUCT(('Sistemas de Cond. Ambiental'!C3:C932&lt;&gt;"")*'Sistemas de Cond. Ambiental'!T3:T932)*$K$4*$E$4</f>
        <v>#VALUE!</v>
      </c>
      <c r="AH25" s="40" t="e" vm="1">
        <f t="shared" ref="AH25:AP25" si="2">AG25</f>
        <v>#VALUE!</v>
      </c>
      <c r="AI25" s="40" t="e" vm="1">
        <f t="shared" si="2"/>
        <v>#VALUE!</v>
      </c>
      <c r="AJ25" s="40" t="e" vm="1">
        <f t="shared" si="2"/>
        <v>#VALUE!</v>
      </c>
      <c r="AK25" s="40" t="e" vm="1">
        <f t="shared" si="2"/>
        <v>#VALUE!</v>
      </c>
      <c r="AL25" s="40" t="e" vm="1">
        <f t="shared" si="2"/>
        <v>#VALUE!</v>
      </c>
      <c r="AM25" s="40" t="e" vm="1">
        <f t="shared" si="2"/>
        <v>#VALUE!</v>
      </c>
      <c r="AN25" s="40" t="e" vm="1">
        <f t="shared" si="2"/>
        <v>#VALUE!</v>
      </c>
      <c r="AO25" s="40" t="e" vm="1">
        <f t="shared" si="2"/>
        <v>#VALUE!</v>
      </c>
      <c r="AP25" s="40" t="e" vm="1">
        <f t="shared" si="2"/>
        <v>#VALUE!</v>
      </c>
      <c r="AQ25" s="40"/>
      <c r="AV25" s="32"/>
      <c r="AW25" s="32"/>
      <c r="AX25" s="32"/>
    </row>
    <row r="26" spans="1:51" s="32" customFormat="1" ht="17.25" customHeight="1" x14ac:dyDescent="0.25">
      <c r="A26" s="42" t="s">
        <v>694</v>
      </c>
      <c r="B26" s="43">
        <f t="shared" ref="B26:L26" si="3">SUM(B24:B25)</f>
        <v>0</v>
      </c>
      <c r="C26" s="43" t="e" vm="1">
        <f t="shared" si="3"/>
        <v>#VALUE!</v>
      </c>
      <c r="D26" s="43" t="e" vm="1">
        <f t="shared" si="3"/>
        <v>#VALUE!</v>
      </c>
      <c r="E26" s="43" t="e" vm="1">
        <f t="shared" si="3"/>
        <v>#VALUE!</v>
      </c>
      <c r="F26" s="43" t="e" vm="1">
        <f t="shared" si="3"/>
        <v>#VALUE!</v>
      </c>
      <c r="G26" s="43" t="e" vm="1">
        <f t="shared" si="3"/>
        <v>#VALUE!</v>
      </c>
      <c r="H26" s="43" t="e" vm="1">
        <f t="shared" si="3"/>
        <v>#VALUE!</v>
      </c>
      <c r="I26" s="43" t="e" vm="1">
        <f t="shared" si="3"/>
        <v>#VALUE!</v>
      </c>
      <c r="J26" s="43" t="e" vm="1">
        <f t="shared" si="3"/>
        <v>#VALUE!</v>
      </c>
      <c r="K26" s="43" t="e" vm="1">
        <f t="shared" si="3"/>
        <v>#VALUE!</v>
      </c>
      <c r="L26" s="43" t="e" vm="1">
        <f t="shared" si="3"/>
        <v>#VALUE!</v>
      </c>
      <c r="P26" s="42" t="s">
        <v>694</v>
      </c>
      <c r="Q26" s="43">
        <f t="shared" ref="Q26:AA26" si="4">SUM(Q24:Q25)</f>
        <v>0</v>
      </c>
      <c r="R26" s="43" t="e" vm="1">
        <f t="shared" si="4"/>
        <v>#VALUE!</v>
      </c>
      <c r="S26" s="43" t="e" vm="1">
        <f t="shared" si="4"/>
        <v>#VALUE!</v>
      </c>
      <c r="T26" s="43" t="e" vm="1">
        <f t="shared" si="4"/>
        <v>#VALUE!</v>
      </c>
      <c r="U26" s="43" t="e" vm="1">
        <f t="shared" si="4"/>
        <v>#VALUE!</v>
      </c>
      <c r="V26" s="43" t="e" vm="1">
        <f t="shared" si="4"/>
        <v>#VALUE!</v>
      </c>
      <c r="W26" s="43" t="e" vm="1">
        <f t="shared" si="4"/>
        <v>#VALUE!</v>
      </c>
      <c r="X26" s="43" t="e" vm="1">
        <f t="shared" si="4"/>
        <v>#VALUE!</v>
      </c>
      <c r="Y26" s="43" t="e" vm="1">
        <f t="shared" si="4"/>
        <v>#VALUE!</v>
      </c>
      <c r="Z26" s="43" t="e" vm="1">
        <f t="shared" si="4"/>
        <v>#VALUE!</v>
      </c>
      <c r="AA26" s="43" t="e" vm="1">
        <f t="shared" si="4"/>
        <v>#VALUE!</v>
      </c>
      <c r="AE26" s="42" t="s">
        <v>694</v>
      </c>
      <c r="AF26" s="43">
        <f t="shared" ref="AF26:AP26" si="5">SUM(AF24:AF25)</f>
        <v>0</v>
      </c>
      <c r="AG26" s="43" t="e" vm="1">
        <f t="shared" si="5"/>
        <v>#VALUE!</v>
      </c>
      <c r="AH26" s="43" t="e" vm="1">
        <f t="shared" si="5"/>
        <v>#VALUE!</v>
      </c>
      <c r="AI26" s="43" t="e" vm="1">
        <f t="shared" si="5"/>
        <v>#VALUE!</v>
      </c>
      <c r="AJ26" s="43" t="e" vm="1">
        <f t="shared" si="5"/>
        <v>#VALUE!</v>
      </c>
      <c r="AK26" s="43" t="e" vm="1">
        <f t="shared" si="5"/>
        <v>#VALUE!</v>
      </c>
      <c r="AL26" s="43" t="e" vm="1">
        <f t="shared" si="5"/>
        <v>#VALUE!</v>
      </c>
      <c r="AM26" s="43" t="e" vm="1">
        <f t="shared" si="5"/>
        <v>#VALUE!</v>
      </c>
      <c r="AN26" s="43" t="e" vm="1">
        <f t="shared" si="5"/>
        <v>#VALUE!</v>
      </c>
      <c r="AO26" s="43" t="e" vm="1">
        <f t="shared" si="5"/>
        <v>#VALUE!</v>
      </c>
      <c r="AP26" s="43" t="e" vm="1">
        <f t="shared" si="5"/>
        <v>#VALUE!</v>
      </c>
      <c r="AQ26" s="40"/>
    </row>
    <row r="27" spans="1:51" s="32" customFormat="1" ht="17.25" customHeight="1" x14ac:dyDescent="0.25">
      <c r="D27" s="33"/>
      <c r="S27" s="33"/>
      <c r="AH27" s="33"/>
    </row>
    <row r="28" spans="1:51" s="32" customFormat="1" ht="19.5" customHeight="1" x14ac:dyDescent="0.25">
      <c r="B28" s="43">
        <f>B26/(1+$B$5)^(B23)</f>
        <v>0</v>
      </c>
      <c r="C28" s="43" t="e" vm="1">
        <f t="shared" ref="C28:L28" si="6">C26/(1+$B$5)^(C23)+B28</f>
        <v>#VALUE!</v>
      </c>
      <c r="D28" s="43" t="e" vm="1">
        <f t="shared" si="6"/>
        <v>#VALUE!</v>
      </c>
      <c r="E28" s="43" t="e" vm="1">
        <f t="shared" si="6"/>
        <v>#VALUE!</v>
      </c>
      <c r="F28" s="43" t="e" vm="1">
        <f t="shared" si="6"/>
        <v>#VALUE!</v>
      </c>
      <c r="G28" s="43" t="e" vm="1">
        <f t="shared" si="6"/>
        <v>#VALUE!</v>
      </c>
      <c r="H28" s="43" t="e" vm="1">
        <f t="shared" si="6"/>
        <v>#VALUE!</v>
      </c>
      <c r="I28" s="43" t="e" vm="1">
        <f t="shared" si="6"/>
        <v>#VALUE!</v>
      </c>
      <c r="J28" s="43" t="e" vm="1">
        <f t="shared" si="6"/>
        <v>#VALUE!</v>
      </c>
      <c r="K28" s="43" t="e" vm="1">
        <f t="shared" si="6"/>
        <v>#VALUE!</v>
      </c>
      <c r="L28" s="43" t="e" vm="1">
        <f t="shared" si="6"/>
        <v>#VALUE!</v>
      </c>
      <c r="Q28" s="43">
        <f>Q26/(1+$B$5)^(Q23)</f>
        <v>0</v>
      </c>
      <c r="R28" s="43" t="e" vm="1">
        <f t="shared" ref="R28:AA28" si="7">R26/(1+$B$5)^(R23)+Q28</f>
        <v>#VALUE!</v>
      </c>
      <c r="S28" s="43" t="e" vm="1">
        <f t="shared" si="7"/>
        <v>#VALUE!</v>
      </c>
      <c r="T28" s="43" t="e" vm="1">
        <f t="shared" si="7"/>
        <v>#VALUE!</v>
      </c>
      <c r="U28" s="43" t="e" vm="1">
        <f t="shared" si="7"/>
        <v>#VALUE!</v>
      </c>
      <c r="V28" s="43" t="e" vm="1">
        <f t="shared" si="7"/>
        <v>#VALUE!</v>
      </c>
      <c r="W28" s="43" t="e" vm="1">
        <f t="shared" si="7"/>
        <v>#VALUE!</v>
      </c>
      <c r="X28" s="43" t="e" vm="1">
        <f t="shared" si="7"/>
        <v>#VALUE!</v>
      </c>
      <c r="Y28" s="43" t="e" vm="1">
        <f t="shared" si="7"/>
        <v>#VALUE!</v>
      </c>
      <c r="Z28" s="43" t="e" vm="1">
        <f t="shared" si="7"/>
        <v>#VALUE!</v>
      </c>
      <c r="AA28" s="43" t="e" vm="1">
        <f t="shared" si="7"/>
        <v>#VALUE!</v>
      </c>
      <c r="AF28" s="43">
        <f>AF26/(1+$B$5)^(AF23)</f>
        <v>0</v>
      </c>
      <c r="AG28" s="43" t="e" vm="1">
        <f t="shared" ref="AG28:AP28" si="8">AG26/(1+$B$5)^(AG23)+AF28</f>
        <v>#VALUE!</v>
      </c>
      <c r="AH28" s="43" t="e" vm="1">
        <f t="shared" si="8"/>
        <v>#VALUE!</v>
      </c>
      <c r="AI28" s="43" t="e" vm="1">
        <f t="shared" si="8"/>
        <v>#VALUE!</v>
      </c>
      <c r="AJ28" s="43" t="e" vm="1">
        <f t="shared" si="8"/>
        <v>#VALUE!</v>
      </c>
      <c r="AK28" s="43" t="e" vm="1">
        <f t="shared" si="8"/>
        <v>#VALUE!</v>
      </c>
      <c r="AL28" s="43" t="e" vm="1">
        <f t="shared" si="8"/>
        <v>#VALUE!</v>
      </c>
      <c r="AM28" s="43" t="e" vm="1">
        <f t="shared" si="8"/>
        <v>#VALUE!</v>
      </c>
      <c r="AN28" s="43" t="e" vm="1">
        <f t="shared" si="8"/>
        <v>#VALUE!</v>
      </c>
      <c r="AO28" s="43" t="e" vm="1">
        <f t="shared" si="8"/>
        <v>#VALUE!</v>
      </c>
      <c r="AP28" s="43" t="e" vm="1">
        <f t="shared" si="8"/>
        <v>#VALUE!</v>
      </c>
      <c r="AQ28" s="40"/>
    </row>
    <row r="29" spans="1:51" s="32" customFormat="1" ht="22.5" customHeight="1" x14ac:dyDescent="0.25">
      <c r="B29" s="244">
        <f t="array" ref="B29">(SUMPRODUCT(('Sistemas de Cond. Ambiental'!C3:C932&lt;&gt;"")*'Sistemas de Cond. Ambiental'!AO3:AO932)+(H3*SUMPRODUCT(('Sistemas de Cond. Ambiental'!C3:C932&lt;&gt;"")*('Sistemas de Cond. Ambiental'!AN3:AN932&lt;&gt;0)*'Sistemas de Cond. Ambiental'!AA3:AA932))+(H5*SUMPRODUCT(('Sistemas de Cond. Ambiental'!C3:C932&lt;&gt;"")*'Sistemas de Cond. Ambiental'!I3:I932))+(H6*12*SUMPRODUCT(('Sistemas de Cond. Ambiental'!C3:C932&lt;&gt;"")*'Sistemas de Cond. Ambiental'!I3:I932)))</f>
        <v>0</v>
      </c>
      <c r="D29" s="33"/>
      <c r="Q29" s="244">
        <f t="array" ref="Q29">(SUMPRODUCT(('Sistemas de Cond. Ambiental'!C3:C932&lt;&gt;"")*'Sistemas de Cond. Ambiental'!AO3:AO932)+(H3*SUMPRODUCT(('Sistemas de Cond. Ambiental'!C3:C932&lt;&gt;"")*('Sistemas de Cond. Ambiental'!AN3:AN932&lt;&gt;0)*'Sistemas de Cond. Ambiental'!AA3:AA932)))</f>
        <v>0</v>
      </c>
      <c r="S29" s="33"/>
      <c r="AF29" s="244">
        <f t="array" ref="AF29">((SUMPRODUCT(('Sistemas de Cond. Ambiental'!C3:C932&lt;&gt;"")*'Sistemas de Cond. Ambiental'!I3:I932)*H5)+(H6*12*SUMPRODUCT(('Sistemas de Cond. Ambiental'!C3:C932&lt;&gt;"")*'Sistemas de Cond. Ambiental'!I3:I932)))</f>
        <v>0</v>
      </c>
      <c r="AG29" s="244">
        <f t="array" ref="AG29">($H$6*12*SUMPRODUCT(('Sistemas de Cond. Ambiental'!C3:C932&lt;&gt;"")*'Sistemas de Cond. Ambiental'!I3:I932))</f>
        <v>0</v>
      </c>
      <c r="AH29" s="244">
        <f t="array" ref="AH29">($H$6*12*SUMPRODUCT(('Sistemas de Cond. Ambiental'!C3:C932&lt;&gt;"")*'Sistemas de Cond. Ambiental'!I3:I932))</f>
        <v>0</v>
      </c>
      <c r="AI29" s="244">
        <f t="array" ref="AI29">($H$6*12*SUMPRODUCT(('Sistemas de Cond. Ambiental'!C3:C932&lt;&gt;"")*'Sistemas de Cond. Ambiental'!I3:I932))</f>
        <v>0</v>
      </c>
      <c r="AJ29" s="244">
        <f t="array" ref="AJ29">($H$6*12*SUMPRODUCT(('Sistemas de Cond. Ambiental'!C3:C932&lt;&gt;"")*'Sistemas de Cond. Ambiental'!I3:I932))</f>
        <v>0</v>
      </c>
      <c r="AK29" s="244">
        <f t="array" ref="AK29">($H$6*12*SUMPRODUCT(('Sistemas de Cond. Ambiental'!C3:C932&lt;&gt;"")*'Sistemas de Cond. Ambiental'!I3:I932))</f>
        <v>0</v>
      </c>
      <c r="AL29" s="244">
        <f t="array" ref="AL29">($H$6*12*SUMPRODUCT(('Sistemas de Cond. Ambiental'!C3:C932&lt;&gt;"")*'Sistemas de Cond. Ambiental'!I3:I932))</f>
        <v>0</v>
      </c>
      <c r="AM29" s="244">
        <f t="array" ref="AM29">($H$6*12*SUMPRODUCT(('Sistemas de Cond. Ambiental'!C3:C932&lt;&gt;"")*'Sistemas de Cond. Ambiental'!I3:I932))</f>
        <v>0</v>
      </c>
      <c r="AN29" s="244">
        <f t="array" ref="AN29">($H$6*12*SUMPRODUCT(('Sistemas de Cond. Ambiental'!C3:C932&lt;&gt;"")*'Sistemas de Cond. Ambiental'!I3:I932))</f>
        <v>0</v>
      </c>
      <c r="AO29" s="244">
        <f t="array" ref="AO29">($H$6*12*SUMPRODUCT(('Sistemas de Cond. Ambiental'!C3:C932&lt;&gt;"")*'Sistemas de Cond. Ambiental'!I3:I932))</f>
        <v>0</v>
      </c>
      <c r="AP29" s="244">
        <f t="array" ref="AP29">($H$6*12*SUMPRODUCT(('Sistemas de Cond. Ambiental'!C3:C932&lt;&gt;"")*'Sistemas de Cond. Ambiental'!I3:I932))</f>
        <v>0</v>
      </c>
      <c r="AQ29" s="244">
        <f>SUM(AF29:AP29)</f>
        <v>0</v>
      </c>
    </row>
    <row r="30" spans="1:51" s="32" customFormat="1" x14ac:dyDescent="0.25">
      <c r="A30" s="44"/>
      <c r="B30" s="44" t="s">
        <v>695</v>
      </c>
      <c r="C30" s="45" t="str">
        <f>IFERROR(IRR(B26:L26),"N/A")</f>
        <v>N/A</v>
      </c>
      <c r="D30" s="46"/>
      <c r="E30" s="44"/>
      <c r="F30" s="47"/>
      <c r="P30" s="44"/>
      <c r="Q30" s="44" t="s">
        <v>695</v>
      </c>
      <c r="R30" s="45" t="str">
        <f>IFERROR(IRR(Q26:AA26),"N/A")</f>
        <v>N/A</v>
      </c>
      <c r="S30" s="46"/>
      <c r="T30" s="44"/>
      <c r="U30" s="47"/>
      <c r="AE30" s="44"/>
      <c r="AF30" s="44" t="s">
        <v>695</v>
      </c>
      <c r="AG30" s="45" t="str">
        <f>IFERROR(IRR(AF26:AP26),"N/A")</f>
        <v>N/A</v>
      </c>
      <c r="AH30" s="46"/>
      <c r="AI30" s="44"/>
      <c r="AJ30" s="47"/>
    </row>
    <row r="31" spans="1:51" s="32" customFormat="1" x14ac:dyDescent="0.25">
      <c r="B31" s="44" t="s">
        <v>696</v>
      </c>
      <c r="C31" s="48" t="e" vm="1">
        <f>C32/-B28</f>
        <v>#VALUE!</v>
      </c>
      <c r="D31" s="33"/>
      <c r="E31" s="44"/>
      <c r="F31" s="49"/>
      <c r="Q31" s="44" t="s">
        <v>696</v>
      </c>
      <c r="R31" s="48" t="e" vm="1">
        <f>R32/-Q28</f>
        <v>#VALUE!</v>
      </c>
      <c r="S31" s="33"/>
      <c r="T31" s="44"/>
      <c r="U31" s="49"/>
      <c r="AF31" s="44" t="s">
        <v>696</v>
      </c>
      <c r="AG31" s="48" t="e" vm="1">
        <f>AG32/-AF28</f>
        <v>#VALUE!</v>
      </c>
      <c r="AH31" s="33"/>
      <c r="AI31" s="44"/>
      <c r="AJ31" s="49"/>
    </row>
    <row r="32" spans="1:51" s="32" customFormat="1" x14ac:dyDescent="0.25">
      <c r="B32" s="44" t="s">
        <v>697</v>
      </c>
      <c r="C32" s="47" t="e" vm="1">
        <f>B26+NPV($B$5,C26:L26)</f>
        <v>#VALUE!</v>
      </c>
      <c r="D32" s="33"/>
      <c r="Q32" s="44" t="s">
        <v>697</v>
      </c>
      <c r="R32" s="47" t="e" vm="1">
        <f>Q26+NPV($B$5,R26:AA26)</f>
        <v>#VALUE!</v>
      </c>
      <c r="S32" s="33"/>
      <c r="AF32" s="44" t="s">
        <v>697</v>
      </c>
      <c r="AG32" s="47" t="e" vm="1">
        <f>AF26+NPV($B$5,AG26:AP26)</f>
        <v>#VALUE!</v>
      </c>
      <c r="AH32" s="33"/>
    </row>
    <row r="33" spans="1:42" s="32" customFormat="1" x14ac:dyDescent="0.25">
      <c r="B33" s="44" t="s">
        <v>698</v>
      </c>
      <c r="C33" s="50" t="e" vm="1">
        <f>(-1*B24)/C26</f>
        <v>#VALUE!</v>
      </c>
      <c r="D33" s="51" t="s">
        <v>699</v>
      </c>
      <c r="Q33" s="44" t="s">
        <v>698</v>
      </c>
      <c r="R33" s="50" t="e" vm="1">
        <f>(-1*Q24)/R26</f>
        <v>#VALUE!</v>
      </c>
      <c r="S33" s="51" t="s">
        <v>699</v>
      </c>
      <c r="AF33" s="44" t="s">
        <v>698</v>
      </c>
      <c r="AG33" s="50" t="e" vm="1">
        <f>(-1*AF24)/AG26</f>
        <v>#VALUE!</v>
      </c>
      <c r="AH33" s="51" t="s">
        <v>699</v>
      </c>
    </row>
    <row r="34" spans="1:42" ht="15" customHeight="1" x14ac:dyDescent="0.25">
      <c r="B34" s="44" t="s">
        <v>700</v>
      </c>
      <c r="C34" s="252" t="e" vm="1">
        <f>C25/$E$4</f>
        <v>#VALUE!</v>
      </c>
      <c r="Q34" s="44" t="s">
        <v>700</v>
      </c>
      <c r="R34" s="225" t="e" vm="1">
        <f>R25/$E$4</f>
        <v>#VALUE!</v>
      </c>
      <c r="AF34" s="44" t="s">
        <v>700</v>
      </c>
      <c r="AG34" s="225" t="e" vm="1">
        <f>AG25/$E$4</f>
        <v>#VALUE!</v>
      </c>
    </row>
    <row r="35" spans="1:42" ht="26.1" customHeight="1" x14ac:dyDescent="0.25">
      <c r="AF35" s="44"/>
    </row>
    <row r="37" spans="1:42" ht="21" customHeight="1" x14ac:dyDescent="0.25">
      <c r="A37" s="491" t="s">
        <v>701</v>
      </c>
      <c r="B37" s="485"/>
      <c r="C37" s="485"/>
      <c r="D37" s="485"/>
      <c r="E37" s="485"/>
      <c r="F37" s="485"/>
      <c r="G37" s="485"/>
      <c r="H37" s="485"/>
      <c r="I37" s="485"/>
      <c r="J37" s="485"/>
      <c r="K37" s="485"/>
      <c r="L37" s="485"/>
      <c r="P37" s="498" t="s">
        <v>702</v>
      </c>
      <c r="Q37" s="485"/>
      <c r="R37" s="485"/>
      <c r="S37" s="485"/>
      <c r="T37" s="485"/>
      <c r="U37" s="485"/>
      <c r="V37" s="485"/>
      <c r="W37" s="485"/>
      <c r="X37" s="485"/>
      <c r="Y37" s="485"/>
      <c r="Z37" s="485"/>
      <c r="AA37" s="485"/>
      <c r="AE37" s="498" t="s">
        <v>703</v>
      </c>
      <c r="AF37" s="485"/>
      <c r="AG37" s="485"/>
      <c r="AH37" s="485"/>
      <c r="AI37" s="485"/>
      <c r="AJ37" s="485"/>
      <c r="AK37" s="485"/>
      <c r="AL37" s="485"/>
      <c r="AM37" s="485"/>
      <c r="AN37" s="485"/>
      <c r="AO37" s="485"/>
      <c r="AP37" s="485"/>
    </row>
    <row r="38" spans="1:42" ht="26.1" customHeight="1" x14ac:dyDescent="0.25">
      <c r="A38" s="34" t="s">
        <v>691</v>
      </c>
      <c r="B38" s="35">
        <v>0</v>
      </c>
      <c r="C38" s="35">
        <v>1</v>
      </c>
      <c r="D38" s="35">
        <v>2</v>
      </c>
      <c r="E38" s="35">
        <v>3</v>
      </c>
      <c r="F38" s="35">
        <v>4</v>
      </c>
      <c r="G38" s="35">
        <v>5</v>
      </c>
      <c r="H38" s="35">
        <v>6</v>
      </c>
      <c r="I38" s="35">
        <v>7</v>
      </c>
      <c r="J38" s="35">
        <v>8</v>
      </c>
      <c r="K38" s="35">
        <v>9</v>
      </c>
      <c r="L38" s="35">
        <v>10</v>
      </c>
      <c r="P38" s="34" t="s">
        <v>691</v>
      </c>
      <c r="Q38" s="35">
        <v>0</v>
      </c>
      <c r="R38" s="35">
        <v>1</v>
      </c>
      <c r="S38" s="35">
        <v>2</v>
      </c>
      <c r="T38" s="35">
        <v>3</v>
      </c>
      <c r="U38" s="35">
        <v>4</v>
      </c>
      <c r="V38" s="35">
        <v>5</v>
      </c>
      <c r="W38" s="35">
        <v>6</v>
      </c>
      <c r="X38" s="35">
        <v>7</v>
      </c>
      <c r="Y38" s="35">
        <v>8</v>
      </c>
      <c r="Z38" s="35">
        <v>9</v>
      </c>
      <c r="AA38" s="35">
        <v>10</v>
      </c>
      <c r="AE38" s="34" t="s">
        <v>691</v>
      </c>
      <c r="AF38" s="35">
        <v>0</v>
      </c>
      <c r="AG38" s="35">
        <v>1</v>
      </c>
      <c r="AH38" s="35">
        <v>2</v>
      </c>
      <c r="AI38" s="35">
        <v>3</v>
      </c>
      <c r="AJ38" s="35">
        <v>4</v>
      </c>
      <c r="AK38" s="35">
        <v>5</v>
      </c>
      <c r="AL38" s="35">
        <v>6</v>
      </c>
      <c r="AM38" s="35">
        <v>7</v>
      </c>
      <c r="AN38" s="35">
        <v>8</v>
      </c>
      <c r="AO38" s="35">
        <v>9</v>
      </c>
      <c r="AP38" s="35">
        <v>10</v>
      </c>
    </row>
    <row r="39" spans="1:42" ht="36" customHeight="1" x14ac:dyDescent="0.25">
      <c r="A39" s="37" t="s">
        <v>692</v>
      </c>
      <c r="B39" s="38">
        <f>-($K$7*($H$5+$K$8))</f>
        <v>-299.89999999999998</v>
      </c>
      <c r="C39" s="38">
        <f>-($H$6*12*$K$7)</f>
        <v>-118.80000000000001</v>
      </c>
      <c r="D39" s="38">
        <f t="shared" ref="D39:L39" si="9">-($H$6*12*$K$7)</f>
        <v>-118.80000000000001</v>
      </c>
      <c r="E39" s="38">
        <f t="shared" si="9"/>
        <v>-118.80000000000001</v>
      </c>
      <c r="F39" s="38">
        <f t="shared" si="9"/>
        <v>-118.80000000000001</v>
      </c>
      <c r="G39" s="38">
        <f t="shared" si="9"/>
        <v>-118.80000000000001</v>
      </c>
      <c r="H39" s="38">
        <f t="shared" si="9"/>
        <v>-118.80000000000001</v>
      </c>
      <c r="I39" s="38">
        <f t="shared" si="9"/>
        <v>-118.80000000000001</v>
      </c>
      <c r="J39" s="38">
        <f t="shared" si="9"/>
        <v>-118.80000000000001</v>
      </c>
      <c r="K39" s="38">
        <f t="shared" si="9"/>
        <v>-118.80000000000001</v>
      </c>
      <c r="L39" s="38">
        <f t="shared" si="9"/>
        <v>-118.80000000000001</v>
      </c>
      <c r="P39" s="37" t="s">
        <v>692</v>
      </c>
      <c r="Q39" s="38">
        <f>-((W5*(COUNTA('Sistemas de Iluminação'!T:T)-1))+(W6*12*(COUNTA('Sistemas de Iluminação'!T:T)-1)))</f>
        <v>0</v>
      </c>
      <c r="R39" s="38">
        <f>-($H$6*12*(COUNTA('Sistemas de Iluminação'!$C:$C)-1))</f>
        <v>0</v>
      </c>
      <c r="S39" s="38">
        <f>-($H$6*12*(COUNTA('Sistemas de Iluminação'!$C:$C)-1))</f>
        <v>0</v>
      </c>
      <c r="T39" s="38">
        <f>-($H$6*12*(COUNTA('Sistemas de Iluminação'!$C:$C)-1))</f>
        <v>0</v>
      </c>
      <c r="U39" s="38">
        <f>-($H$6*12*(COUNTA('Sistemas de Iluminação'!$C:$C)-1))</f>
        <v>0</v>
      </c>
      <c r="V39" s="38">
        <f>-($H$6*12*(COUNTA('Sistemas de Iluminação'!$C:$C)-1))</f>
        <v>0</v>
      </c>
      <c r="W39" s="38">
        <f>-($H$6*12*(COUNTA('Sistemas de Iluminação'!$C:$C)-1))</f>
        <v>0</v>
      </c>
      <c r="X39" s="38">
        <f>-($H$6*12*(COUNTA('Sistemas de Iluminação'!$C:$C)-1))</f>
        <v>0</v>
      </c>
      <c r="Y39" s="38">
        <f>-($H$6*12*(COUNTA('Sistemas de Iluminação'!$C:$C)-1))</f>
        <v>0</v>
      </c>
      <c r="Z39" s="38">
        <f>-($H$6*12*(COUNTA('Sistemas de Iluminação'!$C:$C)-1))</f>
        <v>0</v>
      </c>
      <c r="AA39" s="38">
        <f>-($H$6*12*(COUNTA('Sistemas de Iluminação'!$C:$C)-1))</f>
        <v>0</v>
      </c>
      <c r="AE39" s="37" t="s">
        <v>692</v>
      </c>
      <c r="AF39" s="38">
        <f>-((AL5*(COUNTA('Sistemas de Iluminação'!AI:AI)-1))+(AL6*12*(COUNTA('Sistemas de Iluminação'!AI:AI)-1)))</f>
        <v>0</v>
      </c>
      <c r="AG39" s="38">
        <f>-($H$6*12*(COUNTA('Sistemas de Iluminação'!$C:$C)-1))</f>
        <v>0</v>
      </c>
      <c r="AH39" s="38">
        <f>-($H$6*12*(COUNTA('Sistemas de Iluminação'!$C:$C)-1))</f>
        <v>0</v>
      </c>
      <c r="AI39" s="38">
        <f>-($H$6*12*(COUNTA('Sistemas de Iluminação'!$C:$C)-1))</f>
        <v>0</v>
      </c>
      <c r="AJ39" s="38">
        <f>-($H$6*12*(COUNTA('Sistemas de Iluminação'!$C:$C)-1))</f>
        <v>0</v>
      </c>
      <c r="AK39" s="38">
        <f>-($H$6*12*(COUNTA('Sistemas de Iluminação'!$C:$C)-1))</f>
        <v>0</v>
      </c>
      <c r="AL39" s="38">
        <f>-($H$6*12*(COUNTA('Sistemas de Iluminação'!$C:$C)-1))</f>
        <v>0</v>
      </c>
      <c r="AM39" s="38">
        <f>-($H$6*12*(COUNTA('Sistemas de Iluminação'!$C:$C)-1))</f>
        <v>0</v>
      </c>
      <c r="AN39" s="38">
        <f>-($H$6*12*(COUNTA('Sistemas de Iluminação'!$C:$C)-1))</f>
        <v>0</v>
      </c>
      <c r="AO39" s="38">
        <f>-($H$6*12*(COUNTA('Sistemas de Iluminação'!$C:$C)-1))</f>
        <v>0</v>
      </c>
      <c r="AP39" s="38">
        <f>-($H$6*12*(COUNTA('Sistemas de Iluminação'!$C:$C)-1))</f>
        <v>0</v>
      </c>
    </row>
    <row r="40" spans="1:42" ht="15" customHeight="1" x14ac:dyDescent="0.25">
      <c r="A40" s="39" t="s">
        <v>693</v>
      </c>
      <c r="B40" s="40">
        <v>0</v>
      </c>
      <c r="C40" s="40" t="e" vm="1">
        <f>SUMPRODUCT(('Sistemas de Iluminação'!C4:C853&lt;&gt;"")*'Sistemas de Iluminação'!R4:R853)*$K$4*$E$4</f>
        <v>#VALUE!</v>
      </c>
      <c r="D40" s="40" t="e" vm="1">
        <f>C40</f>
        <v>#VALUE!</v>
      </c>
      <c r="E40" s="40" t="e" vm="1">
        <f>C40</f>
        <v>#VALUE!</v>
      </c>
      <c r="F40" s="40" t="e" vm="1">
        <f>C40</f>
        <v>#VALUE!</v>
      </c>
      <c r="G40" s="40" t="e" vm="1">
        <f>C40</f>
        <v>#VALUE!</v>
      </c>
      <c r="H40" s="40" t="e" vm="1">
        <f>C40</f>
        <v>#VALUE!</v>
      </c>
      <c r="I40" s="40" t="e" vm="1">
        <f>C40</f>
        <v>#VALUE!</v>
      </c>
      <c r="J40" s="40" t="e" vm="1">
        <f>C40</f>
        <v>#VALUE!</v>
      </c>
      <c r="K40" s="40" t="e" vm="1">
        <f>C40</f>
        <v>#VALUE!</v>
      </c>
      <c r="L40" s="40" t="e" vm="1">
        <f>C40</f>
        <v>#VALUE!</v>
      </c>
      <c r="P40" s="39" t="s">
        <v>693</v>
      </c>
      <c r="Q40" s="40">
        <v>0</v>
      </c>
      <c r="R40" s="40" t="e" vm="1">
        <f>SUMPRODUCT(('Sistemas de Iluminação'!T4:T853&lt;&gt;"")*'Sistemas de Iluminação'!AG4:AG853)*$K$4*$E$4</f>
        <v>#VALUE!</v>
      </c>
      <c r="S40" s="40" t="e" vm="1">
        <f>R40</f>
        <v>#VALUE!</v>
      </c>
      <c r="T40" s="40" t="e" vm="1">
        <f>R40</f>
        <v>#VALUE!</v>
      </c>
      <c r="U40" s="40" t="e" vm="1">
        <f>R40</f>
        <v>#VALUE!</v>
      </c>
      <c r="V40" s="40" t="e" vm="1">
        <f>R40</f>
        <v>#VALUE!</v>
      </c>
      <c r="W40" s="40" t="e" vm="1">
        <f>R40</f>
        <v>#VALUE!</v>
      </c>
      <c r="X40" s="40" t="e" vm="1">
        <f>R40</f>
        <v>#VALUE!</v>
      </c>
      <c r="Y40" s="40" t="e" vm="1">
        <f>R40</f>
        <v>#VALUE!</v>
      </c>
      <c r="Z40" s="40" t="e" vm="1">
        <f>R40</f>
        <v>#VALUE!</v>
      </c>
      <c r="AA40" s="40" t="e" vm="1">
        <f>R40</f>
        <v>#VALUE!</v>
      </c>
      <c r="AE40" s="39" t="s">
        <v>693</v>
      </c>
      <c r="AF40" s="40">
        <v>0</v>
      </c>
      <c r="AG40" s="40" t="e" vm="1">
        <f>SUMPRODUCT(('Sistemas de Iluminação'!AI4:AI853&lt;&gt;"")*'Sistemas de Iluminação'!AV4:AV853)*$K$4*$E$4</f>
        <v>#VALUE!</v>
      </c>
      <c r="AH40" s="40" t="e" vm="1">
        <f>AG40</f>
        <v>#VALUE!</v>
      </c>
      <c r="AI40" s="40" t="e" vm="1">
        <f>AG40</f>
        <v>#VALUE!</v>
      </c>
      <c r="AJ40" s="40" t="e" vm="1">
        <f>AG40</f>
        <v>#VALUE!</v>
      </c>
      <c r="AK40" s="40" t="e" vm="1">
        <f>AG40</f>
        <v>#VALUE!</v>
      </c>
      <c r="AL40" s="40" t="e" vm="1">
        <f>AG40</f>
        <v>#VALUE!</v>
      </c>
      <c r="AM40" s="40" t="e" vm="1">
        <f>AG40</f>
        <v>#VALUE!</v>
      </c>
      <c r="AN40" s="40" t="e" vm="1">
        <f>AG40</f>
        <v>#VALUE!</v>
      </c>
      <c r="AO40" s="40" t="e" vm="1">
        <f>AG40</f>
        <v>#VALUE!</v>
      </c>
      <c r="AP40" s="40" t="e" vm="1">
        <f>AG40</f>
        <v>#VALUE!</v>
      </c>
    </row>
    <row r="41" spans="1:42" ht="15" customHeight="1" x14ac:dyDescent="0.25">
      <c r="A41" s="42" t="s">
        <v>694</v>
      </c>
      <c r="B41" s="43">
        <f t="shared" ref="B41:L41" si="10">SUM(B39:B40)</f>
        <v>-299.89999999999998</v>
      </c>
      <c r="C41" s="43" t="e" vm="1">
        <f t="shared" si="10"/>
        <v>#VALUE!</v>
      </c>
      <c r="D41" s="43" t="e" vm="1">
        <f t="shared" si="10"/>
        <v>#VALUE!</v>
      </c>
      <c r="E41" s="43" t="e" vm="1">
        <f t="shared" si="10"/>
        <v>#VALUE!</v>
      </c>
      <c r="F41" s="43" t="e" vm="1">
        <f t="shared" si="10"/>
        <v>#VALUE!</v>
      </c>
      <c r="G41" s="43" t="e" vm="1">
        <f t="shared" si="10"/>
        <v>#VALUE!</v>
      </c>
      <c r="H41" s="43" t="e" vm="1">
        <f t="shared" si="10"/>
        <v>#VALUE!</v>
      </c>
      <c r="I41" s="43" t="e" vm="1">
        <f t="shared" si="10"/>
        <v>#VALUE!</v>
      </c>
      <c r="J41" s="43" t="e" vm="1">
        <f t="shared" si="10"/>
        <v>#VALUE!</v>
      </c>
      <c r="K41" s="43" t="e" vm="1">
        <f t="shared" si="10"/>
        <v>#VALUE!</v>
      </c>
      <c r="L41" s="43" t="e" vm="1">
        <f t="shared" si="10"/>
        <v>#VALUE!</v>
      </c>
      <c r="P41" s="42" t="s">
        <v>694</v>
      </c>
      <c r="Q41" s="43">
        <f t="shared" ref="Q41:AA41" si="11">SUM(Q39:Q40)</f>
        <v>0</v>
      </c>
      <c r="R41" s="43" t="e" vm="1">
        <f t="shared" si="11"/>
        <v>#VALUE!</v>
      </c>
      <c r="S41" s="43" t="e" vm="1">
        <f t="shared" si="11"/>
        <v>#VALUE!</v>
      </c>
      <c r="T41" s="43" t="e" vm="1">
        <f t="shared" si="11"/>
        <v>#VALUE!</v>
      </c>
      <c r="U41" s="43" t="e" vm="1">
        <f t="shared" si="11"/>
        <v>#VALUE!</v>
      </c>
      <c r="V41" s="43" t="e" vm="1">
        <f t="shared" si="11"/>
        <v>#VALUE!</v>
      </c>
      <c r="W41" s="43" t="e" vm="1">
        <f t="shared" si="11"/>
        <v>#VALUE!</v>
      </c>
      <c r="X41" s="43" t="e" vm="1">
        <f t="shared" si="11"/>
        <v>#VALUE!</v>
      </c>
      <c r="Y41" s="43" t="e" vm="1">
        <f t="shared" si="11"/>
        <v>#VALUE!</v>
      </c>
      <c r="Z41" s="43" t="e" vm="1">
        <f t="shared" si="11"/>
        <v>#VALUE!</v>
      </c>
      <c r="AA41" s="43" t="e" vm="1">
        <f t="shared" si="11"/>
        <v>#VALUE!</v>
      </c>
      <c r="AE41" s="42" t="s">
        <v>694</v>
      </c>
      <c r="AF41" s="43">
        <f t="shared" ref="AF41:AP41" si="12">SUM(AF39:AF40)</f>
        <v>0</v>
      </c>
      <c r="AG41" s="43" t="e" vm="1">
        <f t="shared" si="12"/>
        <v>#VALUE!</v>
      </c>
      <c r="AH41" s="43" t="e" vm="1">
        <f t="shared" si="12"/>
        <v>#VALUE!</v>
      </c>
      <c r="AI41" s="43" t="e" vm="1">
        <f t="shared" si="12"/>
        <v>#VALUE!</v>
      </c>
      <c r="AJ41" s="43" t="e" vm="1">
        <f t="shared" si="12"/>
        <v>#VALUE!</v>
      </c>
      <c r="AK41" s="43" t="e" vm="1">
        <f t="shared" si="12"/>
        <v>#VALUE!</v>
      </c>
      <c r="AL41" s="43" t="e" vm="1">
        <f t="shared" si="12"/>
        <v>#VALUE!</v>
      </c>
      <c r="AM41" s="43" t="e" vm="1">
        <f t="shared" si="12"/>
        <v>#VALUE!</v>
      </c>
      <c r="AN41" s="43" t="e" vm="1">
        <f t="shared" si="12"/>
        <v>#VALUE!</v>
      </c>
      <c r="AO41" s="43" t="e" vm="1">
        <f t="shared" si="12"/>
        <v>#VALUE!</v>
      </c>
      <c r="AP41" s="43" t="e" vm="1">
        <f t="shared" si="12"/>
        <v>#VALUE!</v>
      </c>
    </row>
    <row r="42" spans="1:42" ht="15" customHeight="1" x14ac:dyDescent="0.25">
      <c r="A42" s="32"/>
      <c r="B42" s="32"/>
      <c r="C42" s="32"/>
      <c r="D42" s="33"/>
      <c r="E42" s="32"/>
      <c r="F42" s="32"/>
      <c r="G42" s="32"/>
      <c r="H42" s="32"/>
      <c r="I42" s="32"/>
      <c r="J42" s="32"/>
      <c r="K42" s="32"/>
      <c r="L42" s="32"/>
      <c r="P42" s="32"/>
      <c r="Q42" s="32"/>
      <c r="R42" s="32"/>
      <c r="S42" s="33"/>
      <c r="T42" s="32"/>
      <c r="U42" s="32"/>
      <c r="V42" s="32"/>
      <c r="W42" s="32"/>
      <c r="X42" s="32"/>
      <c r="Y42" s="32"/>
      <c r="Z42" s="32"/>
      <c r="AA42" s="32"/>
      <c r="AE42" s="32"/>
      <c r="AF42" s="32"/>
      <c r="AG42" s="32"/>
      <c r="AH42" s="33"/>
      <c r="AI42" s="32"/>
      <c r="AJ42" s="32"/>
      <c r="AK42" s="32"/>
      <c r="AL42" s="32"/>
      <c r="AM42" s="32"/>
      <c r="AN42" s="32"/>
      <c r="AO42" s="32"/>
      <c r="AP42" s="32"/>
    </row>
    <row r="43" spans="1:42" ht="15" customHeight="1" x14ac:dyDescent="0.25">
      <c r="A43" s="32"/>
      <c r="B43" s="43">
        <f>B41/(1+$B$5)^(B38)</f>
        <v>-299.89999999999998</v>
      </c>
      <c r="C43" s="43" t="e" vm="1">
        <f t="shared" ref="C43:L43" si="13">C41/(1+$B$5)^(C38)+B43</f>
        <v>#VALUE!</v>
      </c>
      <c r="D43" s="43" t="e" vm="1">
        <f t="shared" si="13"/>
        <v>#VALUE!</v>
      </c>
      <c r="E43" s="43" t="e" vm="1">
        <f t="shared" si="13"/>
        <v>#VALUE!</v>
      </c>
      <c r="F43" s="43" t="e" vm="1">
        <f t="shared" si="13"/>
        <v>#VALUE!</v>
      </c>
      <c r="G43" s="43" t="e" vm="1">
        <f t="shared" si="13"/>
        <v>#VALUE!</v>
      </c>
      <c r="H43" s="43" t="e" vm="1">
        <f t="shared" si="13"/>
        <v>#VALUE!</v>
      </c>
      <c r="I43" s="43" t="e" vm="1">
        <f t="shared" si="13"/>
        <v>#VALUE!</v>
      </c>
      <c r="J43" s="43" t="e" vm="1">
        <f t="shared" si="13"/>
        <v>#VALUE!</v>
      </c>
      <c r="K43" s="43" t="e" vm="1">
        <f t="shared" si="13"/>
        <v>#VALUE!</v>
      </c>
      <c r="L43" s="43" t="e" vm="1">
        <f t="shared" si="13"/>
        <v>#VALUE!</v>
      </c>
      <c r="P43" s="32"/>
      <c r="Q43" s="43">
        <f>Q41/(1+$B$5)^(Q38)</f>
        <v>0</v>
      </c>
      <c r="R43" s="43" t="e" vm="1">
        <f t="shared" ref="R43:AA43" si="14">R41/(1+$B$5)^(R38)+Q43</f>
        <v>#VALUE!</v>
      </c>
      <c r="S43" s="43" t="e" vm="1">
        <f t="shared" si="14"/>
        <v>#VALUE!</v>
      </c>
      <c r="T43" s="43" t="e" vm="1">
        <f t="shared" si="14"/>
        <v>#VALUE!</v>
      </c>
      <c r="U43" s="43" t="e" vm="1">
        <f t="shared" si="14"/>
        <v>#VALUE!</v>
      </c>
      <c r="V43" s="43" t="e" vm="1">
        <f t="shared" si="14"/>
        <v>#VALUE!</v>
      </c>
      <c r="W43" s="43" t="e" vm="1">
        <f t="shared" si="14"/>
        <v>#VALUE!</v>
      </c>
      <c r="X43" s="43" t="e" vm="1">
        <f t="shared" si="14"/>
        <v>#VALUE!</v>
      </c>
      <c r="Y43" s="43" t="e" vm="1">
        <f t="shared" si="14"/>
        <v>#VALUE!</v>
      </c>
      <c r="Z43" s="43" t="e" vm="1">
        <f t="shared" si="14"/>
        <v>#VALUE!</v>
      </c>
      <c r="AA43" s="43" t="e" vm="1">
        <f t="shared" si="14"/>
        <v>#VALUE!</v>
      </c>
      <c r="AE43" s="32"/>
      <c r="AF43" s="43">
        <f>AF41/(1+$B$5)^(AF38)</f>
        <v>0</v>
      </c>
      <c r="AG43" s="43" t="e" vm="1">
        <f t="shared" ref="AG43:AP43" si="15">AG41/(1+$B$5)^(AG38)+AF43</f>
        <v>#VALUE!</v>
      </c>
      <c r="AH43" s="43" t="e" vm="1">
        <f t="shared" si="15"/>
        <v>#VALUE!</v>
      </c>
      <c r="AI43" s="43" t="e" vm="1">
        <f t="shared" si="15"/>
        <v>#VALUE!</v>
      </c>
      <c r="AJ43" s="43" t="e" vm="1">
        <f t="shared" si="15"/>
        <v>#VALUE!</v>
      </c>
      <c r="AK43" s="43" t="e" vm="1">
        <f t="shared" si="15"/>
        <v>#VALUE!</v>
      </c>
      <c r="AL43" s="43" t="e" vm="1">
        <f t="shared" si="15"/>
        <v>#VALUE!</v>
      </c>
      <c r="AM43" s="43" t="e" vm="1">
        <f t="shared" si="15"/>
        <v>#VALUE!</v>
      </c>
      <c r="AN43" s="43" t="e" vm="1">
        <f t="shared" si="15"/>
        <v>#VALUE!</v>
      </c>
      <c r="AO43" s="43" t="e" vm="1">
        <f t="shared" si="15"/>
        <v>#VALUE!</v>
      </c>
      <c r="AP43" s="43" t="e" vm="1">
        <f t="shared" si="15"/>
        <v>#VALUE!</v>
      </c>
    </row>
    <row r="44" spans="1:42" ht="15" customHeight="1" x14ac:dyDescent="0.25">
      <c r="A44" s="32"/>
      <c r="B44" s="32"/>
      <c r="C44" s="32"/>
      <c r="D44" s="33"/>
      <c r="E44" s="32"/>
      <c r="F44" s="32"/>
      <c r="G44" s="32"/>
      <c r="H44" s="32"/>
      <c r="I44" s="32"/>
      <c r="J44" s="32"/>
      <c r="K44" s="32"/>
      <c r="L44" s="32"/>
      <c r="P44" s="32"/>
      <c r="Q44" s="32"/>
      <c r="R44" s="32"/>
      <c r="S44" s="33"/>
      <c r="T44" s="32"/>
      <c r="U44" s="32"/>
      <c r="V44" s="32"/>
      <c r="W44" s="32"/>
      <c r="X44" s="32"/>
      <c r="Y44" s="32"/>
      <c r="Z44" s="32"/>
      <c r="AA44" s="32"/>
      <c r="AE44" s="32"/>
      <c r="AF44" s="32"/>
      <c r="AG44" s="32"/>
      <c r="AH44" s="33"/>
      <c r="AI44" s="32"/>
      <c r="AJ44" s="32"/>
      <c r="AK44" s="32"/>
      <c r="AL44" s="32"/>
      <c r="AM44" s="32"/>
      <c r="AN44" s="32"/>
      <c r="AO44" s="32"/>
      <c r="AP44" s="32"/>
    </row>
    <row r="45" spans="1:42" ht="15" customHeight="1" x14ac:dyDescent="0.25">
      <c r="A45" s="44"/>
      <c r="B45" s="44" t="s">
        <v>695</v>
      </c>
      <c r="C45" s="45" t="str">
        <f>IFERROR(IRR(B41:L41),"N/A")</f>
        <v>N/A</v>
      </c>
      <c r="D45" s="46"/>
      <c r="E45" s="44"/>
      <c r="F45" s="47"/>
      <c r="G45" s="32"/>
      <c r="H45" s="32"/>
      <c r="I45" s="32"/>
      <c r="J45" s="32"/>
      <c r="K45" s="32"/>
      <c r="L45" s="32"/>
      <c r="P45" s="44"/>
      <c r="Q45" s="44" t="s">
        <v>695</v>
      </c>
      <c r="R45" s="45" t="str">
        <f>IFERROR(IRR(Q41:AA41),"N/A")</f>
        <v>N/A</v>
      </c>
      <c r="S45" s="46"/>
      <c r="T45" s="44"/>
      <c r="U45" s="47"/>
      <c r="V45" s="32"/>
      <c r="W45" s="32"/>
      <c r="X45" s="32"/>
      <c r="Y45" s="32"/>
      <c r="Z45" s="32"/>
      <c r="AA45" s="32"/>
      <c r="AE45" s="44"/>
      <c r="AF45" s="44" t="s">
        <v>695</v>
      </c>
      <c r="AG45" s="45" t="str">
        <f>IFERROR(IRR(AF41:AP41),"N/A")</f>
        <v>N/A</v>
      </c>
      <c r="AH45" s="46"/>
      <c r="AI45" s="44"/>
      <c r="AJ45" s="47"/>
      <c r="AK45" s="32"/>
      <c r="AL45" s="32"/>
      <c r="AM45" s="32"/>
      <c r="AN45" s="32"/>
      <c r="AO45" s="32"/>
      <c r="AP45" s="32"/>
    </row>
    <row r="46" spans="1:42" ht="15" customHeight="1" x14ac:dyDescent="0.25">
      <c r="A46" s="32"/>
      <c r="B46" s="44" t="s">
        <v>696</v>
      </c>
      <c r="C46" s="48" t="e" vm="1">
        <f>C47/-B43</f>
        <v>#VALUE!</v>
      </c>
      <c r="D46" s="33"/>
      <c r="E46" s="44"/>
      <c r="F46" s="49"/>
      <c r="G46" s="32"/>
      <c r="H46" s="32"/>
      <c r="I46" s="32"/>
      <c r="J46" s="32"/>
      <c r="K46" s="32"/>
      <c r="L46" s="32"/>
      <c r="P46" s="32"/>
      <c r="Q46" s="44" t="s">
        <v>696</v>
      </c>
      <c r="R46" s="48" t="e" vm="1">
        <f>R47/-Q43</f>
        <v>#VALUE!</v>
      </c>
      <c r="S46" s="33"/>
      <c r="T46" s="44"/>
      <c r="U46" s="49"/>
      <c r="V46" s="32"/>
      <c r="W46" s="32"/>
      <c r="X46" s="32"/>
      <c r="Y46" s="32"/>
      <c r="Z46" s="32"/>
      <c r="AA46" s="32"/>
      <c r="AE46" s="32"/>
      <c r="AF46" s="44" t="s">
        <v>696</v>
      </c>
      <c r="AG46" s="48" t="e" vm="1">
        <f>AG47/-AF43</f>
        <v>#VALUE!</v>
      </c>
      <c r="AH46" s="33"/>
      <c r="AI46" s="44"/>
      <c r="AJ46" s="49"/>
      <c r="AK46" s="32"/>
      <c r="AL46" s="32"/>
      <c r="AM46" s="32"/>
      <c r="AN46" s="32"/>
      <c r="AO46" s="32"/>
      <c r="AP46" s="32"/>
    </row>
    <row r="47" spans="1:42" ht="15" customHeight="1" x14ac:dyDescent="0.25">
      <c r="A47" s="32"/>
      <c r="B47" s="44" t="s">
        <v>697</v>
      </c>
      <c r="C47" s="47" t="e" vm="1">
        <f>B41+NPV($B$5,C41:L41)</f>
        <v>#VALUE!</v>
      </c>
      <c r="D47" s="33"/>
      <c r="E47" s="32"/>
      <c r="F47" s="32"/>
      <c r="G47" s="32"/>
      <c r="H47" s="32"/>
      <c r="I47" s="32"/>
      <c r="J47" s="32"/>
      <c r="K47" s="32"/>
      <c r="L47" s="32"/>
      <c r="P47" s="32"/>
      <c r="Q47" s="44" t="s">
        <v>697</v>
      </c>
      <c r="R47" s="47" t="e" vm="1">
        <f>Q41+NPV($B$5,R41:AA41)</f>
        <v>#VALUE!</v>
      </c>
      <c r="S47" s="33"/>
      <c r="T47" s="32"/>
      <c r="U47" s="32"/>
      <c r="V47" s="32"/>
      <c r="W47" s="32"/>
      <c r="X47" s="32"/>
      <c r="Y47" s="32"/>
      <c r="Z47" s="32"/>
      <c r="AA47" s="32"/>
      <c r="AE47" s="32"/>
      <c r="AF47" s="44" t="s">
        <v>697</v>
      </c>
      <c r="AG47" s="47" t="e" vm="1">
        <f>AF41+NPV($B$5,AG41:AP41)</f>
        <v>#VALUE!</v>
      </c>
      <c r="AH47" s="33"/>
      <c r="AI47" s="32"/>
      <c r="AJ47" s="32"/>
      <c r="AK47" s="32"/>
      <c r="AL47" s="32"/>
      <c r="AM47" s="32"/>
      <c r="AN47" s="32"/>
      <c r="AO47" s="32"/>
      <c r="AP47" s="32"/>
    </row>
    <row r="48" spans="1:42" ht="15" customHeight="1" x14ac:dyDescent="0.25">
      <c r="A48" s="32"/>
      <c r="B48" s="44" t="s">
        <v>698</v>
      </c>
      <c r="C48" s="50" t="e" vm="1">
        <f>(-1*B39)/C41</f>
        <v>#VALUE!</v>
      </c>
      <c r="D48" s="51" t="s">
        <v>699</v>
      </c>
      <c r="E48" s="32"/>
      <c r="F48" s="32"/>
      <c r="G48" s="32"/>
      <c r="H48" s="32"/>
      <c r="I48" s="32"/>
      <c r="J48" s="32"/>
      <c r="K48" s="32"/>
      <c r="L48" s="32"/>
      <c r="P48" s="32"/>
      <c r="Q48" s="44" t="s">
        <v>698</v>
      </c>
      <c r="R48" s="50" t="e" vm="1">
        <f>(-1*Q39)/R41</f>
        <v>#VALUE!</v>
      </c>
      <c r="S48" s="51" t="s">
        <v>699</v>
      </c>
      <c r="T48" s="32"/>
      <c r="U48" s="32"/>
      <c r="V48" s="32"/>
      <c r="W48" s="32"/>
      <c r="X48" s="32"/>
      <c r="Y48" s="32"/>
      <c r="Z48" s="32"/>
      <c r="AA48" s="32"/>
      <c r="AE48" s="32"/>
      <c r="AF48" s="44" t="s">
        <v>698</v>
      </c>
      <c r="AG48" s="50" t="e" vm="1">
        <f>(-1*AF39)/AG41</f>
        <v>#VALUE!</v>
      </c>
      <c r="AH48" s="51" t="s">
        <v>699</v>
      </c>
      <c r="AI48" s="32"/>
      <c r="AJ48" s="32"/>
      <c r="AK48" s="32"/>
      <c r="AL48" s="32"/>
      <c r="AM48" s="32"/>
      <c r="AN48" s="32"/>
      <c r="AO48" s="32"/>
      <c r="AP48" s="32"/>
    </row>
    <row r="49" spans="1:33" x14ac:dyDescent="0.25">
      <c r="B49" s="44" t="s">
        <v>700</v>
      </c>
      <c r="C49" s="225" t="e" vm="1">
        <f>C40/$E$4</f>
        <v>#VALUE!</v>
      </c>
      <c r="Q49" s="44" t="s">
        <v>700</v>
      </c>
      <c r="R49" s="225" t="e" vm="1">
        <f>R40/$E$4</f>
        <v>#VALUE!</v>
      </c>
      <c r="AF49" s="44" t="s">
        <v>700</v>
      </c>
      <c r="AG49" s="225" t="e" vm="1">
        <f>AG40/$E$4</f>
        <v>#VALUE!</v>
      </c>
    </row>
    <row r="52" spans="1:33" ht="15" customHeight="1" x14ac:dyDescent="0.25">
      <c r="A52" s="491" t="s">
        <v>704</v>
      </c>
      <c r="B52" s="485"/>
      <c r="C52" s="485"/>
      <c r="D52" s="485"/>
      <c r="E52" s="485"/>
      <c r="F52" s="485"/>
      <c r="G52" s="485"/>
      <c r="H52" s="485"/>
      <c r="I52" s="485"/>
      <c r="J52" s="485"/>
      <c r="K52" s="485"/>
      <c r="L52" s="485"/>
      <c r="P52" s="498" t="s">
        <v>627</v>
      </c>
      <c r="Q52" s="485"/>
      <c r="R52" s="485"/>
      <c r="S52" s="485"/>
      <c r="T52" s="485"/>
      <c r="U52" s="485"/>
      <c r="V52" s="485"/>
      <c r="W52" s="485"/>
      <c r="X52" s="485"/>
      <c r="Y52" s="485"/>
      <c r="Z52" s="485"/>
      <c r="AA52" s="485"/>
    </row>
    <row r="53" spans="1:33" ht="15" customHeight="1" x14ac:dyDescent="0.25">
      <c r="A53" s="34" t="s">
        <v>691</v>
      </c>
      <c r="B53" s="35">
        <v>0</v>
      </c>
      <c r="C53" s="35">
        <v>1</v>
      </c>
      <c r="D53" s="35">
        <v>2</v>
      </c>
      <c r="E53" s="35">
        <v>3</v>
      </c>
      <c r="F53" s="35">
        <v>4</v>
      </c>
      <c r="G53" s="35">
        <v>5</v>
      </c>
      <c r="H53" s="35">
        <v>6</v>
      </c>
      <c r="I53" s="35">
        <v>7</v>
      </c>
      <c r="J53" s="35">
        <v>8</v>
      </c>
      <c r="K53" s="35">
        <v>9</v>
      </c>
      <c r="L53" s="35">
        <v>10</v>
      </c>
      <c r="P53" s="34" t="s">
        <v>691</v>
      </c>
      <c r="Q53" s="35">
        <v>0</v>
      </c>
      <c r="R53" s="35">
        <v>1</v>
      </c>
      <c r="S53" s="35">
        <v>2</v>
      </c>
      <c r="T53" s="35">
        <v>3</v>
      </c>
      <c r="U53" s="35">
        <v>4</v>
      </c>
      <c r="V53" s="35">
        <v>5</v>
      </c>
      <c r="W53" s="35">
        <v>6</v>
      </c>
      <c r="X53" s="35">
        <v>7</v>
      </c>
      <c r="Y53" s="35">
        <v>8</v>
      </c>
      <c r="Z53" s="35">
        <v>9</v>
      </c>
      <c r="AA53" s="35">
        <v>10</v>
      </c>
    </row>
    <row r="54" spans="1:33" ht="15" customHeight="1" x14ac:dyDescent="0.25">
      <c r="A54" s="37" t="s">
        <v>692</v>
      </c>
      <c r="B54" s="38">
        <f>-SUMPRODUCT(('Sistemas de Refrigeração'!C3:C1021&lt;&gt;"")*'Sistemas de Refrigeração'!AK3:AK1021)</f>
        <v>0</v>
      </c>
      <c r="C54" s="38">
        <v>0</v>
      </c>
      <c r="D54" s="38">
        <v>0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P54" s="37" t="s">
        <v>692</v>
      </c>
      <c r="Q54" s="38">
        <f>-SUMPRODUCT(('Sistemas de Refrigeração'!T3:T1021&lt;&gt;"")*'Sistemas de Refrigeração'!AZ3:AZ1021)</f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0</v>
      </c>
      <c r="Z54" s="38">
        <v>0</v>
      </c>
      <c r="AA54" s="38">
        <v>0</v>
      </c>
    </row>
    <row r="55" spans="1:33" ht="15" customHeight="1" x14ac:dyDescent="0.25">
      <c r="A55" s="39" t="s">
        <v>693</v>
      </c>
      <c r="B55" s="40">
        <v>0</v>
      </c>
      <c r="C55" s="40" t="e" vm="1">
        <f t="array" ref="C55">SUMPRODUCT(('Sistemas de Refrigeração'!C3:C1021&lt;&gt;"")*'Sistemas de Refrigeração'!AJ3:AJ1021)*$E$4</f>
        <v>#VALUE!</v>
      </c>
      <c r="D55" s="40" t="e" vm="1">
        <f>C55</f>
        <v>#VALUE!</v>
      </c>
      <c r="E55" s="40" t="e" vm="1">
        <f>C55</f>
        <v>#VALUE!</v>
      </c>
      <c r="F55" s="40" t="e" vm="1">
        <f>C55</f>
        <v>#VALUE!</v>
      </c>
      <c r="G55" s="40" t="e" vm="1">
        <f>C55</f>
        <v>#VALUE!</v>
      </c>
      <c r="H55" s="40" t="e" vm="1">
        <f>C55</f>
        <v>#VALUE!</v>
      </c>
      <c r="I55" s="40" t="e" vm="1">
        <f>C55</f>
        <v>#VALUE!</v>
      </c>
      <c r="J55" s="40" t="e" vm="1">
        <f>C55</f>
        <v>#VALUE!</v>
      </c>
      <c r="K55" s="40" t="e" vm="1">
        <f>C55</f>
        <v>#VALUE!</v>
      </c>
      <c r="L55" s="40" t="e" vm="1">
        <f>C55</f>
        <v>#VALUE!</v>
      </c>
      <c r="P55" s="39" t="s">
        <v>693</v>
      </c>
      <c r="Q55" s="40">
        <v>0</v>
      </c>
      <c r="R55" s="40" t="e" vm="1">
        <f t="array" ref="R55">SUMPRODUCT(('Sistemas de Refrigeração'!T3:T1021&lt;&gt;"")*'Sistemas de Refrigeração'!AY3:AY1021)*$E$4</f>
        <v>#VALUE!</v>
      </c>
      <c r="S55" s="40" t="e" vm="1">
        <f>R55</f>
        <v>#VALUE!</v>
      </c>
      <c r="T55" s="40" t="e" vm="1">
        <f>R55</f>
        <v>#VALUE!</v>
      </c>
      <c r="U55" s="40" t="e" vm="1">
        <f>R55</f>
        <v>#VALUE!</v>
      </c>
      <c r="V55" s="40" t="e" vm="1">
        <f>R55</f>
        <v>#VALUE!</v>
      </c>
      <c r="W55" s="40" t="e" vm="1">
        <f>R55</f>
        <v>#VALUE!</v>
      </c>
      <c r="X55" s="40" t="e" vm="1">
        <f>R55</f>
        <v>#VALUE!</v>
      </c>
      <c r="Y55" s="40" t="e" vm="1">
        <f>R55</f>
        <v>#VALUE!</v>
      </c>
      <c r="Z55" s="40" t="e" vm="1">
        <f>R55</f>
        <v>#VALUE!</v>
      </c>
      <c r="AA55" s="40" t="e" vm="1">
        <f>R55</f>
        <v>#VALUE!</v>
      </c>
    </row>
    <row r="56" spans="1:33" ht="15" customHeight="1" x14ac:dyDescent="0.25">
      <c r="A56" s="42" t="s">
        <v>694</v>
      </c>
      <c r="B56" s="43">
        <f t="shared" ref="B56:L56" si="16">SUM(B54:B55)</f>
        <v>0</v>
      </c>
      <c r="C56" s="43" t="e" vm="1">
        <f t="shared" si="16"/>
        <v>#VALUE!</v>
      </c>
      <c r="D56" s="43" t="e" vm="1">
        <f t="shared" si="16"/>
        <v>#VALUE!</v>
      </c>
      <c r="E56" s="43" t="e" vm="1">
        <f t="shared" si="16"/>
        <v>#VALUE!</v>
      </c>
      <c r="F56" s="43" t="e" vm="1">
        <f t="shared" si="16"/>
        <v>#VALUE!</v>
      </c>
      <c r="G56" s="43" t="e" vm="1">
        <f t="shared" si="16"/>
        <v>#VALUE!</v>
      </c>
      <c r="H56" s="43" t="e" vm="1">
        <f t="shared" si="16"/>
        <v>#VALUE!</v>
      </c>
      <c r="I56" s="43" t="e" vm="1">
        <f t="shared" si="16"/>
        <v>#VALUE!</v>
      </c>
      <c r="J56" s="43" t="e" vm="1">
        <f t="shared" si="16"/>
        <v>#VALUE!</v>
      </c>
      <c r="K56" s="43" t="e" vm="1">
        <f t="shared" si="16"/>
        <v>#VALUE!</v>
      </c>
      <c r="L56" s="43" t="e" vm="1">
        <f t="shared" si="16"/>
        <v>#VALUE!</v>
      </c>
      <c r="P56" s="42" t="s">
        <v>694</v>
      </c>
      <c r="Q56" s="43">
        <f t="shared" ref="Q56:AA56" si="17">SUM(Q54:Q55)</f>
        <v>0</v>
      </c>
      <c r="R56" s="43" t="e" vm="1">
        <f t="shared" si="17"/>
        <v>#VALUE!</v>
      </c>
      <c r="S56" s="43" t="e" vm="1">
        <f t="shared" si="17"/>
        <v>#VALUE!</v>
      </c>
      <c r="T56" s="43" t="e" vm="1">
        <f t="shared" si="17"/>
        <v>#VALUE!</v>
      </c>
      <c r="U56" s="43" t="e" vm="1">
        <f t="shared" si="17"/>
        <v>#VALUE!</v>
      </c>
      <c r="V56" s="43" t="e" vm="1">
        <f t="shared" si="17"/>
        <v>#VALUE!</v>
      </c>
      <c r="W56" s="43" t="e" vm="1">
        <f t="shared" si="17"/>
        <v>#VALUE!</v>
      </c>
      <c r="X56" s="43" t="e" vm="1">
        <f t="shared" si="17"/>
        <v>#VALUE!</v>
      </c>
      <c r="Y56" s="43" t="e" vm="1">
        <f t="shared" si="17"/>
        <v>#VALUE!</v>
      </c>
      <c r="Z56" s="43" t="e" vm="1">
        <f t="shared" si="17"/>
        <v>#VALUE!</v>
      </c>
      <c r="AA56" s="43" t="e" vm="1">
        <f t="shared" si="17"/>
        <v>#VALUE!</v>
      </c>
    </row>
    <row r="57" spans="1:33" ht="15" customHeight="1" x14ac:dyDescent="0.25">
      <c r="A57" s="32"/>
      <c r="B57" s="32"/>
      <c r="C57" s="32"/>
      <c r="D57" s="33"/>
      <c r="E57" s="32"/>
      <c r="F57" s="32"/>
      <c r="G57" s="32"/>
      <c r="H57" s="32"/>
      <c r="I57" s="32"/>
      <c r="J57" s="32"/>
      <c r="K57" s="32"/>
      <c r="L57" s="32"/>
      <c r="P57" s="32"/>
      <c r="Q57" s="32"/>
      <c r="R57" s="32"/>
      <c r="S57" s="33"/>
      <c r="T57" s="32"/>
      <c r="U57" s="32"/>
      <c r="V57" s="32"/>
      <c r="W57" s="32"/>
      <c r="X57" s="32"/>
      <c r="Y57" s="32"/>
      <c r="Z57" s="32"/>
      <c r="AA57" s="32"/>
    </row>
    <row r="58" spans="1:33" ht="15" customHeight="1" x14ac:dyDescent="0.25">
      <c r="A58" s="32"/>
      <c r="B58" s="43">
        <f>B56/(1+$B$5)^(B53)</f>
        <v>0</v>
      </c>
      <c r="C58" s="43" t="e" vm="1">
        <f t="shared" ref="C58:L58" si="18">C56/(1+$B$5)^(C53)+B58</f>
        <v>#VALUE!</v>
      </c>
      <c r="D58" s="43" t="e" vm="1">
        <f t="shared" si="18"/>
        <v>#VALUE!</v>
      </c>
      <c r="E58" s="43" t="e" vm="1">
        <f t="shared" si="18"/>
        <v>#VALUE!</v>
      </c>
      <c r="F58" s="43" t="e" vm="1">
        <f t="shared" si="18"/>
        <v>#VALUE!</v>
      </c>
      <c r="G58" s="43" t="e" vm="1">
        <f t="shared" si="18"/>
        <v>#VALUE!</v>
      </c>
      <c r="H58" s="43" t="e" vm="1">
        <f t="shared" si="18"/>
        <v>#VALUE!</v>
      </c>
      <c r="I58" s="43" t="e" vm="1">
        <f t="shared" si="18"/>
        <v>#VALUE!</v>
      </c>
      <c r="J58" s="43" t="e" vm="1">
        <f t="shared" si="18"/>
        <v>#VALUE!</v>
      </c>
      <c r="K58" s="43" t="e" vm="1">
        <f t="shared" si="18"/>
        <v>#VALUE!</v>
      </c>
      <c r="L58" s="43" t="e" vm="1">
        <f t="shared" si="18"/>
        <v>#VALUE!</v>
      </c>
      <c r="P58" s="32"/>
      <c r="Q58" s="43">
        <f>Q56/(1+$B$5)^(Q53)</f>
        <v>0</v>
      </c>
      <c r="R58" s="43" t="e" vm="1">
        <f t="shared" ref="R58:AA58" si="19">R56/(1+$B$5)^(R53)+Q58</f>
        <v>#VALUE!</v>
      </c>
      <c r="S58" s="43" t="e" vm="1">
        <f t="shared" si="19"/>
        <v>#VALUE!</v>
      </c>
      <c r="T58" s="43" t="e" vm="1">
        <f t="shared" si="19"/>
        <v>#VALUE!</v>
      </c>
      <c r="U58" s="43" t="e" vm="1">
        <f t="shared" si="19"/>
        <v>#VALUE!</v>
      </c>
      <c r="V58" s="43" t="e" vm="1">
        <f t="shared" si="19"/>
        <v>#VALUE!</v>
      </c>
      <c r="W58" s="43" t="e" vm="1">
        <f t="shared" si="19"/>
        <v>#VALUE!</v>
      </c>
      <c r="X58" s="43" t="e" vm="1">
        <f t="shared" si="19"/>
        <v>#VALUE!</v>
      </c>
      <c r="Y58" s="43" t="e" vm="1">
        <f t="shared" si="19"/>
        <v>#VALUE!</v>
      </c>
      <c r="Z58" s="43" t="e" vm="1">
        <f t="shared" si="19"/>
        <v>#VALUE!</v>
      </c>
      <c r="AA58" s="43" t="e" vm="1">
        <f t="shared" si="19"/>
        <v>#VALUE!</v>
      </c>
    </row>
    <row r="59" spans="1:33" ht="15" customHeight="1" x14ac:dyDescent="0.25">
      <c r="A59" s="32"/>
      <c r="B59" s="32">
        <f t="array" ref="B59">SUMPRODUCT(('Sistemas de Refrigeração'!C3:C1021&lt;&gt;"")*'Sistemas de Refrigeração'!AK3:AK1021)</f>
        <v>0</v>
      </c>
      <c r="C59" s="32"/>
      <c r="D59" s="33"/>
      <c r="E59" s="32"/>
      <c r="F59" s="32"/>
      <c r="G59" s="32"/>
      <c r="H59" s="32"/>
      <c r="I59" s="32"/>
      <c r="J59" s="32"/>
      <c r="K59" s="32"/>
      <c r="L59" s="32"/>
      <c r="P59" s="32"/>
      <c r="Q59" s="32">
        <f t="array" ref="Q59">SUMPRODUCT(('Sistemas de Refrigeração'!T3:T1021&lt;&gt;"")*'Sistemas de Refrigeração'!AZ3:AZ1021)</f>
        <v>0</v>
      </c>
      <c r="R59" s="32"/>
      <c r="S59" s="33"/>
      <c r="T59" s="32"/>
      <c r="U59" s="32"/>
      <c r="V59" s="32"/>
      <c r="W59" s="32"/>
      <c r="X59" s="32"/>
      <c r="Y59" s="32"/>
      <c r="Z59" s="32"/>
      <c r="AA59" s="32"/>
    </row>
    <row r="60" spans="1:33" ht="15" customHeight="1" x14ac:dyDescent="0.25">
      <c r="A60" s="44"/>
      <c r="B60" s="44" t="s">
        <v>695</v>
      </c>
      <c r="C60" s="45" t="str">
        <f>IFERROR(IRR(B56:L56),"N/A")</f>
        <v>N/A</v>
      </c>
      <c r="D60" s="46"/>
      <c r="E60" s="44"/>
      <c r="F60" s="47"/>
      <c r="G60" s="32"/>
      <c r="H60" s="32"/>
      <c r="I60" s="32"/>
      <c r="J60" s="32"/>
      <c r="K60" s="32"/>
      <c r="L60" s="32"/>
      <c r="P60" s="44"/>
      <c r="Q60" s="44" t="s">
        <v>695</v>
      </c>
      <c r="R60" s="45" t="str">
        <f>IFERROR(IRR(Q56:AA56),"N/A")</f>
        <v>N/A</v>
      </c>
      <c r="S60" s="46"/>
      <c r="T60" s="44"/>
      <c r="U60" s="47"/>
      <c r="V60" s="32"/>
      <c r="W60" s="32"/>
      <c r="X60" s="32"/>
      <c r="Y60" s="32"/>
      <c r="Z60" s="32"/>
      <c r="AA60" s="32"/>
    </row>
    <row r="61" spans="1:33" ht="15" customHeight="1" x14ac:dyDescent="0.25">
      <c r="A61" s="32"/>
      <c r="B61" s="44" t="s">
        <v>696</v>
      </c>
      <c r="C61" s="48" t="e" vm="1">
        <f>C62/-B58</f>
        <v>#VALUE!</v>
      </c>
      <c r="D61" s="33"/>
      <c r="E61" s="44"/>
      <c r="F61" s="49"/>
      <c r="G61" s="32"/>
      <c r="H61" s="32"/>
      <c r="I61" s="32"/>
      <c r="J61" s="32"/>
      <c r="K61" s="32"/>
      <c r="L61" s="32"/>
      <c r="P61" s="32"/>
      <c r="Q61" s="44" t="s">
        <v>696</v>
      </c>
      <c r="R61" s="48" t="e" vm="1">
        <f>R62/-Q58</f>
        <v>#VALUE!</v>
      </c>
      <c r="S61" s="33"/>
      <c r="T61" s="44"/>
      <c r="U61" s="49"/>
      <c r="V61" s="32"/>
      <c r="W61" s="32"/>
      <c r="X61" s="32"/>
      <c r="Y61" s="32"/>
      <c r="Z61" s="32"/>
      <c r="AA61" s="32"/>
    </row>
    <row r="62" spans="1:33" ht="15" customHeight="1" x14ac:dyDescent="0.25">
      <c r="A62" s="32"/>
      <c r="B62" s="44" t="s">
        <v>697</v>
      </c>
      <c r="C62" s="47" t="e" vm="1">
        <f>B56+NPV($B$5,C56:L56)</f>
        <v>#VALUE!</v>
      </c>
      <c r="D62" s="33"/>
      <c r="E62" s="32"/>
      <c r="F62" s="32"/>
      <c r="G62" s="32"/>
      <c r="H62" s="32"/>
      <c r="I62" s="32"/>
      <c r="J62" s="32"/>
      <c r="K62" s="32"/>
      <c r="L62" s="32"/>
      <c r="P62" s="32"/>
      <c r="Q62" s="44" t="s">
        <v>697</v>
      </c>
      <c r="R62" s="47" t="e" vm="1">
        <f>Q56+NPV($B$5,R56:AA56)</f>
        <v>#VALUE!</v>
      </c>
      <c r="S62" s="33"/>
      <c r="T62" s="32"/>
      <c r="U62" s="32"/>
      <c r="V62" s="32"/>
      <c r="W62" s="32"/>
      <c r="X62" s="32"/>
      <c r="Y62" s="32"/>
      <c r="Z62" s="32"/>
      <c r="AA62" s="32"/>
    </row>
    <row r="63" spans="1:33" ht="15" customHeight="1" x14ac:dyDescent="0.25">
      <c r="A63" s="32"/>
      <c r="B63" s="44" t="s">
        <v>698</v>
      </c>
      <c r="C63" s="50" t="e" vm="1">
        <f>(-1*B54)/C56</f>
        <v>#VALUE!</v>
      </c>
      <c r="D63" s="51" t="s">
        <v>699</v>
      </c>
      <c r="E63" s="32"/>
      <c r="F63" s="32"/>
      <c r="G63" s="32"/>
      <c r="H63" s="32"/>
      <c r="I63" s="32"/>
      <c r="J63" s="32"/>
      <c r="K63" s="32"/>
      <c r="L63" s="32"/>
      <c r="P63" s="32"/>
      <c r="Q63" s="44" t="s">
        <v>698</v>
      </c>
      <c r="R63" s="50" t="e" vm="1">
        <f>(-1*Q54)/R56</f>
        <v>#VALUE!</v>
      </c>
      <c r="S63" s="51" t="s">
        <v>699</v>
      </c>
      <c r="T63" s="32"/>
      <c r="U63" s="32"/>
      <c r="V63" s="32"/>
      <c r="W63" s="32"/>
      <c r="X63" s="32"/>
      <c r="Y63" s="32"/>
      <c r="Z63" s="32"/>
      <c r="AA63" s="32"/>
    </row>
    <row r="64" spans="1:33" x14ac:dyDescent="0.25">
      <c r="B64" s="44" t="s">
        <v>700</v>
      </c>
      <c r="C64" s="225" t="e" vm="1">
        <f>C55/$E$4</f>
        <v>#VALUE!</v>
      </c>
      <c r="Q64" s="44" t="s">
        <v>700</v>
      </c>
      <c r="R64" s="225" t="e" vm="1">
        <f>R55/$E$4</f>
        <v>#VALUE!</v>
      </c>
    </row>
  </sheetData>
  <mergeCells count="25">
    <mergeCell ref="P52:AA52"/>
    <mergeCell ref="AW15:AY15"/>
    <mergeCell ref="G2:H2"/>
    <mergeCell ref="A37:L37"/>
    <mergeCell ref="AW18:AY18"/>
    <mergeCell ref="AW14:AY14"/>
    <mergeCell ref="D2:E2"/>
    <mergeCell ref="J6:K6"/>
    <mergeCell ref="D13:E13"/>
    <mergeCell ref="A22:L22"/>
    <mergeCell ref="P37:AA37"/>
    <mergeCell ref="AW19:AY20"/>
    <mergeCell ref="AV19:AV20"/>
    <mergeCell ref="AW16:AY16"/>
    <mergeCell ref="A52:L52"/>
    <mergeCell ref="AE37:AP37"/>
    <mergeCell ref="AE22:AP22"/>
    <mergeCell ref="AW13:AY13"/>
    <mergeCell ref="P22:AA22"/>
    <mergeCell ref="A2:B2"/>
    <mergeCell ref="D9:E9"/>
    <mergeCell ref="AW17:AY17"/>
    <mergeCell ref="AS20:AU20"/>
    <mergeCell ref="AR12:AY12"/>
    <mergeCell ref="J2:K2"/>
  </mergeCells>
  <conditionalFormatting sqref="E12">
    <cfRule type="colorScale" priority="1">
      <colorScale>
        <cfvo type="min"/>
        <cfvo type="num" val="0.8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0"/>
  <sheetViews>
    <sheetView topLeftCell="B1" zoomScale="110" zoomScaleNormal="110" workbookViewId="0">
      <selection activeCell="I7" sqref="I7"/>
    </sheetView>
  </sheetViews>
  <sheetFormatPr defaultColWidth="8.5703125" defaultRowHeight="15" x14ac:dyDescent="0.25"/>
  <cols>
    <col min="1" max="1" width="14" customWidth="1"/>
    <col min="2" max="2" width="23.140625" customWidth="1"/>
    <col min="3" max="3" width="13.5703125" customWidth="1"/>
    <col min="4" max="4" width="20.140625" customWidth="1"/>
    <col min="6" max="6" width="28.5703125" customWidth="1"/>
    <col min="7" max="7" width="23.140625" customWidth="1"/>
    <col min="8" max="8" width="27.140625" customWidth="1"/>
    <col min="9" max="9" width="11.7109375" customWidth="1"/>
    <col min="10" max="10" width="22.7109375" customWidth="1"/>
    <col min="11" max="11" width="20.140625" customWidth="1"/>
    <col min="12" max="12" width="68.28515625" customWidth="1"/>
    <col min="14" max="14" width="13.5703125" customWidth="1"/>
    <col min="15" max="15" width="35.85546875" customWidth="1"/>
    <col min="16" max="16" width="19.28515625" customWidth="1"/>
    <col min="17" max="17" width="22.42578125" customWidth="1"/>
    <col min="18" max="18" width="20.42578125" customWidth="1"/>
    <col min="20" max="20" width="12.5703125" customWidth="1"/>
    <col min="21" max="21" width="20.42578125" customWidth="1"/>
    <col min="22" max="22" width="24.28515625" customWidth="1"/>
    <col min="24" max="24" width="28.7109375" customWidth="1"/>
  </cols>
  <sheetData>
    <row r="1" spans="1:24" ht="27.75" customHeight="1" x14ac:dyDescent="0.25">
      <c r="A1" s="74" t="s">
        <v>705</v>
      </c>
      <c r="B1" s="74" t="s">
        <v>706</v>
      </c>
      <c r="C1" s="74" t="s">
        <v>707</v>
      </c>
      <c r="D1" s="74" t="s">
        <v>708</v>
      </c>
      <c r="E1" s="64"/>
      <c r="F1" s="75" t="s">
        <v>705</v>
      </c>
      <c r="G1" s="75" t="s">
        <v>706</v>
      </c>
      <c r="H1" s="75" t="s">
        <v>709</v>
      </c>
      <c r="I1" s="75" t="s">
        <v>707</v>
      </c>
      <c r="J1" s="76" t="s">
        <v>710</v>
      </c>
      <c r="K1" s="75" t="s">
        <v>711</v>
      </c>
      <c r="L1" s="75" t="s">
        <v>712</v>
      </c>
      <c r="M1" s="64"/>
      <c r="N1" s="77" t="s">
        <v>705</v>
      </c>
      <c r="O1" s="77" t="s">
        <v>706</v>
      </c>
      <c r="P1" s="78" t="s">
        <v>713</v>
      </c>
      <c r="Q1" s="77" t="s">
        <v>569</v>
      </c>
      <c r="R1" s="79" t="s">
        <v>714</v>
      </c>
      <c r="S1" s="77" t="s">
        <v>715</v>
      </c>
      <c r="T1" s="77" t="s">
        <v>556</v>
      </c>
      <c r="U1" s="77" t="s">
        <v>711</v>
      </c>
      <c r="V1" s="77" t="s">
        <v>712</v>
      </c>
      <c r="X1" s="80" t="s">
        <v>716</v>
      </c>
    </row>
    <row r="2" spans="1:24" ht="15" customHeight="1" x14ac:dyDescent="0.25">
      <c r="A2" t="s">
        <v>602</v>
      </c>
      <c r="F2" s="81" t="s">
        <v>717</v>
      </c>
      <c r="G2" s="81" t="s">
        <v>718</v>
      </c>
      <c r="H2" s="82" t="s">
        <v>719</v>
      </c>
      <c r="I2" s="82">
        <v>9000</v>
      </c>
      <c r="J2" s="83">
        <v>8.3000000000000007</v>
      </c>
      <c r="K2" s="84">
        <v>3300</v>
      </c>
      <c r="L2" s="81" t="s">
        <v>720</v>
      </c>
      <c r="N2" s="81" t="s">
        <v>591</v>
      </c>
      <c r="O2" s="81" t="s">
        <v>721</v>
      </c>
      <c r="P2" s="85">
        <v>240</v>
      </c>
      <c r="Q2" s="86">
        <v>110</v>
      </c>
      <c r="R2" s="85">
        <v>23.3</v>
      </c>
      <c r="S2" s="82">
        <v>0.3</v>
      </c>
      <c r="T2" s="87" t="s">
        <v>722</v>
      </c>
      <c r="U2" s="84">
        <v>1799</v>
      </c>
      <c r="V2" s="81" t="s">
        <v>723</v>
      </c>
      <c r="X2" s="88">
        <v>0.15</v>
      </c>
    </row>
    <row r="3" spans="1:24" ht="15" customHeight="1" x14ac:dyDescent="0.25">
      <c r="F3" s="81" t="s">
        <v>717</v>
      </c>
      <c r="G3" s="81" t="s">
        <v>718</v>
      </c>
      <c r="H3" s="82" t="s">
        <v>719</v>
      </c>
      <c r="I3" s="82">
        <v>12000</v>
      </c>
      <c r="J3" s="83">
        <v>8.3000000000000007</v>
      </c>
      <c r="K3" s="84">
        <v>3583</v>
      </c>
      <c r="L3" s="81" t="s">
        <v>724</v>
      </c>
      <c r="N3" s="81" t="s">
        <v>591</v>
      </c>
      <c r="O3" s="81" t="s">
        <v>721</v>
      </c>
      <c r="P3" s="85">
        <v>347</v>
      </c>
      <c r="Q3" s="86">
        <v>155</v>
      </c>
      <c r="R3" s="85">
        <v>34.799999999999997</v>
      </c>
      <c r="S3" s="82">
        <v>0.3</v>
      </c>
      <c r="T3" s="87" t="s">
        <v>725</v>
      </c>
      <c r="U3" s="84">
        <v>2735.79</v>
      </c>
      <c r="V3" s="81" t="s">
        <v>726</v>
      </c>
    </row>
    <row r="4" spans="1:24" ht="15" customHeight="1" x14ac:dyDescent="0.25">
      <c r="F4" s="81" t="s">
        <v>717</v>
      </c>
      <c r="G4" s="81" t="s">
        <v>718</v>
      </c>
      <c r="H4" s="82" t="s">
        <v>719</v>
      </c>
      <c r="I4" s="82">
        <v>18000</v>
      </c>
      <c r="J4" s="83">
        <v>7.6</v>
      </c>
      <c r="K4" s="84">
        <v>3603.46</v>
      </c>
      <c r="L4" s="81" t="s">
        <v>727</v>
      </c>
      <c r="N4" s="81" t="s">
        <v>591</v>
      </c>
      <c r="O4" s="81" t="s">
        <v>721</v>
      </c>
      <c r="P4" s="85">
        <v>400</v>
      </c>
      <c r="Q4" s="86">
        <v>170</v>
      </c>
      <c r="R4" s="85">
        <v>37</v>
      </c>
      <c r="S4" s="82">
        <v>0.3</v>
      </c>
      <c r="T4" s="87" t="s">
        <v>728</v>
      </c>
      <c r="U4" s="84">
        <v>2629</v>
      </c>
      <c r="V4" s="81" t="s">
        <v>729</v>
      </c>
    </row>
    <row r="5" spans="1:24" ht="15" customHeight="1" x14ac:dyDescent="0.25">
      <c r="F5" s="81" t="s">
        <v>717</v>
      </c>
      <c r="G5" s="81" t="s">
        <v>718</v>
      </c>
      <c r="H5" s="82" t="s">
        <v>719</v>
      </c>
      <c r="I5" s="82">
        <v>22000</v>
      </c>
      <c r="J5" s="83">
        <v>6.8</v>
      </c>
      <c r="K5" s="84">
        <v>5680.05</v>
      </c>
      <c r="L5" s="81" t="s">
        <v>730</v>
      </c>
      <c r="N5" s="81" t="s">
        <v>591</v>
      </c>
      <c r="O5" s="81" t="s">
        <v>731</v>
      </c>
      <c r="P5" s="85">
        <v>309</v>
      </c>
      <c r="Q5" s="86">
        <v>98</v>
      </c>
      <c r="R5" s="85">
        <v>28.1</v>
      </c>
      <c r="S5" s="82">
        <v>0.4</v>
      </c>
      <c r="T5" s="87" t="s">
        <v>722</v>
      </c>
      <c r="U5" s="84">
        <v>2310.75</v>
      </c>
      <c r="V5" s="81" t="s">
        <v>732</v>
      </c>
    </row>
    <row r="6" spans="1:24" ht="15" customHeight="1" x14ac:dyDescent="0.25">
      <c r="F6" s="81" t="s">
        <v>717</v>
      </c>
      <c r="G6" s="81" t="s">
        <v>718</v>
      </c>
      <c r="H6" s="82" t="s">
        <v>719</v>
      </c>
      <c r="I6" s="82">
        <v>24000</v>
      </c>
      <c r="J6" s="83">
        <v>8.3000000000000007</v>
      </c>
      <c r="K6" s="84">
        <v>5721</v>
      </c>
      <c r="L6" s="81" t="s">
        <v>733</v>
      </c>
      <c r="N6" s="81" t="s">
        <v>591</v>
      </c>
      <c r="O6" s="81" t="s">
        <v>731</v>
      </c>
      <c r="P6" s="85">
        <v>400</v>
      </c>
      <c r="Q6" s="86">
        <v>110</v>
      </c>
      <c r="R6" s="85">
        <v>31.3</v>
      </c>
      <c r="S6" s="82">
        <v>0.4</v>
      </c>
      <c r="T6" s="87" t="s">
        <v>725</v>
      </c>
      <c r="U6" s="84">
        <v>3762.92</v>
      </c>
      <c r="V6" s="81" t="s">
        <v>734</v>
      </c>
    </row>
    <row r="7" spans="1:24" ht="15" customHeight="1" x14ac:dyDescent="0.25">
      <c r="F7" s="81" t="s">
        <v>717</v>
      </c>
      <c r="G7" s="81" t="s">
        <v>718</v>
      </c>
      <c r="H7" s="82" t="s">
        <v>719</v>
      </c>
      <c r="I7" s="82">
        <v>30000</v>
      </c>
      <c r="J7" s="83">
        <v>8.49</v>
      </c>
      <c r="K7" s="84">
        <v>5500</v>
      </c>
      <c r="L7" s="81" t="s">
        <v>735</v>
      </c>
      <c r="N7" s="81" t="s">
        <v>591</v>
      </c>
      <c r="O7" s="81" t="s">
        <v>731</v>
      </c>
      <c r="P7" s="85">
        <v>513</v>
      </c>
      <c r="Q7" s="86">
        <v>125</v>
      </c>
      <c r="R7" s="85">
        <v>35.6</v>
      </c>
      <c r="S7" s="82">
        <v>0.4</v>
      </c>
      <c r="T7" s="87" t="s">
        <v>728</v>
      </c>
      <c r="U7" s="84">
        <v>3499</v>
      </c>
      <c r="V7" s="81" t="s">
        <v>736</v>
      </c>
    </row>
    <row r="8" spans="1:24" ht="15" customHeight="1" x14ac:dyDescent="0.25">
      <c r="F8" s="81" t="s">
        <v>717</v>
      </c>
      <c r="G8" s="81" t="s">
        <v>737</v>
      </c>
      <c r="H8" s="82" t="s">
        <v>719</v>
      </c>
      <c r="I8" s="82">
        <v>18000</v>
      </c>
      <c r="J8" s="83">
        <v>6.5</v>
      </c>
      <c r="K8" s="84">
        <v>6200</v>
      </c>
      <c r="L8" s="81" t="s">
        <v>738</v>
      </c>
      <c r="N8" s="81" t="s">
        <v>591</v>
      </c>
      <c r="O8" s="81" t="s">
        <v>739</v>
      </c>
      <c r="P8" s="87">
        <v>162</v>
      </c>
      <c r="Q8" s="87">
        <v>95</v>
      </c>
      <c r="R8" s="87">
        <v>22.7</v>
      </c>
      <c r="S8" s="82">
        <v>0.4</v>
      </c>
      <c r="T8" s="87" t="s">
        <v>722</v>
      </c>
      <c r="U8" s="84">
        <v>2200</v>
      </c>
      <c r="V8" s="81" t="s">
        <v>740</v>
      </c>
    </row>
    <row r="9" spans="1:24" ht="15" customHeight="1" x14ac:dyDescent="0.25">
      <c r="F9" s="81" t="s">
        <v>717</v>
      </c>
      <c r="G9" s="81" t="s">
        <v>737</v>
      </c>
      <c r="H9" s="82" t="s">
        <v>719</v>
      </c>
      <c r="I9" s="82">
        <v>24000</v>
      </c>
      <c r="J9" s="83">
        <v>7.85</v>
      </c>
      <c r="K9" s="84">
        <v>8934.7800000000007</v>
      </c>
      <c r="L9" s="81" t="s">
        <v>741</v>
      </c>
      <c r="N9" s="81" t="s">
        <v>591</v>
      </c>
      <c r="O9" s="81" t="s">
        <v>739</v>
      </c>
      <c r="P9" s="87">
        <v>234</v>
      </c>
      <c r="Q9" s="87">
        <v>137</v>
      </c>
      <c r="R9" s="87">
        <v>32.9</v>
      </c>
      <c r="S9" s="82">
        <v>0.4</v>
      </c>
      <c r="T9" s="87" t="s">
        <v>725</v>
      </c>
      <c r="U9" s="84">
        <v>2949</v>
      </c>
      <c r="V9" s="81" t="s">
        <v>742</v>
      </c>
    </row>
    <row r="10" spans="1:24" ht="15" customHeight="1" x14ac:dyDescent="0.25">
      <c r="F10" s="81" t="s">
        <v>717</v>
      </c>
      <c r="G10" s="81" t="s">
        <v>737</v>
      </c>
      <c r="H10" s="82" t="s">
        <v>719</v>
      </c>
      <c r="I10" s="82">
        <v>30000</v>
      </c>
      <c r="J10" s="83">
        <v>6.51</v>
      </c>
      <c r="K10" s="84">
        <v>9666</v>
      </c>
      <c r="L10" s="81" t="s">
        <v>743</v>
      </c>
      <c r="N10" s="81" t="s">
        <v>591</v>
      </c>
      <c r="O10" s="81" t="s">
        <v>739</v>
      </c>
      <c r="P10" s="87">
        <v>400</v>
      </c>
      <c r="Q10" s="87">
        <v>180</v>
      </c>
      <c r="R10" s="87">
        <v>48</v>
      </c>
      <c r="S10" s="82">
        <v>0.4</v>
      </c>
      <c r="T10" s="87" t="s">
        <v>728</v>
      </c>
      <c r="U10" s="84">
        <v>4999</v>
      </c>
      <c r="V10" s="81" t="s">
        <v>744</v>
      </c>
    </row>
    <row r="11" spans="1:24" ht="15" customHeight="1" x14ac:dyDescent="0.25">
      <c r="F11" s="81" t="s">
        <v>717</v>
      </c>
      <c r="G11" s="81" t="s">
        <v>737</v>
      </c>
      <c r="H11" s="82" t="s">
        <v>719</v>
      </c>
      <c r="I11" s="82">
        <v>36000</v>
      </c>
      <c r="J11" s="83">
        <v>5.61</v>
      </c>
      <c r="K11" s="84">
        <v>8299</v>
      </c>
      <c r="L11" s="81" t="s">
        <v>745</v>
      </c>
      <c r="N11" s="81" t="s">
        <v>591</v>
      </c>
      <c r="O11" s="81" t="s">
        <v>746</v>
      </c>
      <c r="P11" s="87">
        <v>80</v>
      </c>
      <c r="Q11" s="87">
        <v>65</v>
      </c>
      <c r="R11" s="87">
        <v>19</v>
      </c>
      <c r="S11" s="82">
        <v>0.3</v>
      </c>
      <c r="T11" s="87" t="s">
        <v>722</v>
      </c>
      <c r="U11" s="84">
        <v>1300</v>
      </c>
      <c r="V11" s="81" t="s">
        <v>747</v>
      </c>
    </row>
    <row r="12" spans="1:24" ht="15" customHeight="1" x14ac:dyDescent="0.25">
      <c r="F12" s="81" t="s">
        <v>717</v>
      </c>
      <c r="G12" s="81" t="s">
        <v>737</v>
      </c>
      <c r="H12" s="82" t="s">
        <v>719</v>
      </c>
      <c r="I12" s="82">
        <v>48000</v>
      </c>
      <c r="J12" s="83">
        <v>5.81</v>
      </c>
      <c r="K12" s="84">
        <v>11655.06</v>
      </c>
      <c r="L12" s="81" t="s">
        <v>748</v>
      </c>
      <c r="N12" s="81" t="s">
        <v>591</v>
      </c>
      <c r="O12" s="81" t="s">
        <v>749</v>
      </c>
      <c r="P12" s="87">
        <v>50</v>
      </c>
      <c r="Q12" s="87">
        <v>180</v>
      </c>
      <c r="R12" s="87">
        <v>18</v>
      </c>
      <c r="S12" s="82">
        <v>0.5</v>
      </c>
      <c r="T12" s="87" t="s">
        <v>725</v>
      </c>
      <c r="U12" s="84">
        <v>2100</v>
      </c>
      <c r="V12" s="81" t="s">
        <v>750</v>
      </c>
    </row>
    <row r="13" spans="1:24" ht="15" customHeight="1" x14ac:dyDescent="0.25">
      <c r="F13" s="81" t="s">
        <v>717</v>
      </c>
      <c r="G13" s="81" t="s">
        <v>737</v>
      </c>
      <c r="H13" s="82" t="s">
        <v>719</v>
      </c>
      <c r="I13" s="82">
        <v>57000</v>
      </c>
      <c r="J13" s="83">
        <v>5.57</v>
      </c>
      <c r="K13" s="84">
        <v>13297.11</v>
      </c>
      <c r="L13" s="81" t="s">
        <v>751</v>
      </c>
    </row>
    <row r="14" spans="1:24" ht="15" customHeight="1" x14ac:dyDescent="0.25">
      <c r="F14" s="81" t="s">
        <v>717</v>
      </c>
      <c r="G14" s="81" t="s">
        <v>737</v>
      </c>
      <c r="H14" s="82" t="s">
        <v>719</v>
      </c>
      <c r="I14" s="82">
        <v>60000</v>
      </c>
      <c r="J14" s="83">
        <v>5.5</v>
      </c>
      <c r="K14" s="84">
        <v>10076.67</v>
      </c>
      <c r="L14" s="81" t="s">
        <v>752</v>
      </c>
    </row>
    <row r="15" spans="1:24" ht="15" customHeight="1" x14ac:dyDescent="0.25">
      <c r="F15" s="81" t="s">
        <v>717</v>
      </c>
      <c r="G15" s="81" t="s">
        <v>753</v>
      </c>
      <c r="H15" s="82" t="s">
        <v>719</v>
      </c>
      <c r="I15" s="82">
        <v>24000</v>
      </c>
      <c r="J15" s="83">
        <v>6.1</v>
      </c>
      <c r="K15" s="84">
        <v>11999</v>
      </c>
      <c r="L15" s="81" t="s">
        <v>754</v>
      </c>
    </row>
    <row r="16" spans="1:24" ht="15" customHeight="1" x14ac:dyDescent="0.25">
      <c r="F16" s="81" t="s">
        <v>717</v>
      </c>
      <c r="G16" s="81" t="s">
        <v>753</v>
      </c>
      <c r="H16" s="82" t="s">
        <v>719</v>
      </c>
      <c r="I16" s="82">
        <v>30000</v>
      </c>
      <c r="J16" s="83">
        <v>5.8</v>
      </c>
      <c r="K16" s="84">
        <v>14039</v>
      </c>
      <c r="L16" s="81" t="s">
        <v>755</v>
      </c>
    </row>
    <row r="17" spans="6:12" ht="15" customHeight="1" x14ac:dyDescent="0.25">
      <c r="F17" s="81" t="s">
        <v>717</v>
      </c>
      <c r="G17" s="81" t="s">
        <v>753</v>
      </c>
      <c r="H17" s="82" t="s">
        <v>719</v>
      </c>
      <c r="I17" s="82">
        <v>36000</v>
      </c>
      <c r="J17" s="83">
        <v>5.5</v>
      </c>
      <c r="K17" s="84">
        <v>15864.05</v>
      </c>
      <c r="L17" s="81" t="s">
        <v>756</v>
      </c>
    </row>
    <row r="18" spans="6:12" ht="15" customHeight="1" x14ac:dyDescent="0.25">
      <c r="F18" s="81" t="s">
        <v>717</v>
      </c>
      <c r="G18" s="81" t="s">
        <v>753</v>
      </c>
      <c r="H18" s="82" t="s">
        <v>719</v>
      </c>
      <c r="I18" s="82">
        <v>48000</v>
      </c>
      <c r="J18" s="83">
        <v>5.4</v>
      </c>
      <c r="K18" s="84">
        <v>17748</v>
      </c>
      <c r="L18" s="81" t="s">
        <v>757</v>
      </c>
    </row>
    <row r="19" spans="6:12" ht="15" customHeight="1" x14ac:dyDescent="0.25">
      <c r="F19" s="81" t="s">
        <v>717</v>
      </c>
      <c r="G19" s="81" t="s">
        <v>753</v>
      </c>
      <c r="H19" s="82" t="s">
        <v>719</v>
      </c>
      <c r="I19" s="82">
        <v>60000</v>
      </c>
      <c r="J19" s="83">
        <v>5.2</v>
      </c>
      <c r="K19" s="84">
        <v>17749.8</v>
      </c>
      <c r="L19" s="81" t="s">
        <v>758</v>
      </c>
    </row>
    <row r="50" spans="18:18" ht="15" customHeight="1" x14ac:dyDescent="0.25">
      <c r="R50" t="s">
        <v>630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00"/>
  <sheetViews>
    <sheetView zoomScale="96" zoomScaleNormal="96" workbookViewId="0">
      <pane xSplit="2" ySplit="2" topLeftCell="D45" activePane="bottomRight" state="frozen"/>
      <selection pane="topRight" activeCell="W1" sqref="W1"/>
      <selection pane="bottomLeft" activeCell="A3" sqref="A3"/>
      <selection pane="bottomRight" activeCell="J48" sqref="J48"/>
    </sheetView>
  </sheetViews>
  <sheetFormatPr defaultColWidth="8.85546875" defaultRowHeight="15" x14ac:dyDescent="0.25"/>
  <cols>
    <col min="1" max="1" width="19" style="53" customWidth="1"/>
    <col min="2" max="2" width="19.7109375" style="53" customWidth="1"/>
    <col min="3" max="3" width="18.85546875" style="54" customWidth="1"/>
    <col min="4" max="4" width="28.5703125" style="54" customWidth="1"/>
    <col min="5" max="10" width="18.85546875" style="54" customWidth="1"/>
    <col min="11" max="29" width="20.42578125" style="54" customWidth="1"/>
    <col min="30" max="32" width="18.42578125" style="54" customWidth="1"/>
    <col min="33" max="33" width="8.85546875" style="53" customWidth="1"/>
    <col min="34" max="16384" width="8.85546875" style="53"/>
  </cols>
  <sheetData>
    <row r="1" spans="1:32" ht="22.5" customHeight="1" x14ac:dyDescent="0.25">
      <c r="A1" s="476" t="s">
        <v>555</v>
      </c>
      <c r="B1" s="477"/>
      <c r="C1" s="473" t="s">
        <v>759</v>
      </c>
      <c r="D1" s="474"/>
      <c r="E1" s="474"/>
      <c r="F1" s="474"/>
      <c r="G1" s="474"/>
      <c r="H1" s="474"/>
      <c r="I1" s="474"/>
      <c r="J1" s="474"/>
      <c r="K1" s="478" t="s">
        <v>760</v>
      </c>
      <c r="L1" s="474"/>
      <c r="M1" s="474"/>
      <c r="N1" s="474"/>
      <c r="O1" s="474"/>
      <c r="P1" s="479"/>
      <c r="Q1" s="509" t="s">
        <v>761</v>
      </c>
      <c r="R1" s="474"/>
      <c r="S1" s="474"/>
      <c r="T1" s="474"/>
      <c r="U1" s="474"/>
      <c r="V1" s="474"/>
      <c r="W1" s="474"/>
      <c r="X1" s="474"/>
      <c r="Y1" s="474"/>
      <c r="Z1" s="479"/>
      <c r="AA1" s="478" t="s">
        <v>762</v>
      </c>
      <c r="AB1" s="474"/>
      <c r="AC1" s="479"/>
      <c r="AD1" s="460" t="s">
        <v>524</v>
      </c>
      <c r="AE1" s="461"/>
      <c r="AF1" s="461"/>
    </row>
    <row r="2" spans="1:32" s="64" customFormat="1" ht="81.75" customHeight="1" x14ac:dyDescent="0.25">
      <c r="A2" s="55" t="s">
        <v>527</v>
      </c>
      <c r="B2" s="56" t="s">
        <v>530</v>
      </c>
      <c r="C2" s="57" t="s">
        <v>763</v>
      </c>
      <c r="D2" s="115" t="s">
        <v>764</v>
      </c>
      <c r="E2" s="116" t="s">
        <v>765</v>
      </c>
      <c r="F2" s="58" t="s">
        <v>766</v>
      </c>
      <c r="G2" s="58" t="s">
        <v>767</v>
      </c>
      <c r="H2" s="58" t="s">
        <v>768</v>
      </c>
      <c r="I2" s="58" t="s">
        <v>769</v>
      </c>
      <c r="J2" s="58" t="s">
        <v>770</v>
      </c>
      <c r="K2" s="57" t="s">
        <v>771</v>
      </c>
      <c r="L2" s="115" t="s">
        <v>772</v>
      </c>
      <c r="M2" s="116" t="s">
        <v>773</v>
      </c>
      <c r="N2" s="58" t="s">
        <v>774</v>
      </c>
      <c r="O2" s="58" t="s">
        <v>775</v>
      </c>
      <c r="P2" s="59" t="s">
        <v>776</v>
      </c>
      <c r="Q2" s="58" t="s">
        <v>777</v>
      </c>
      <c r="R2" s="58" t="s">
        <v>778</v>
      </c>
      <c r="S2" s="58" t="s">
        <v>779</v>
      </c>
      <c r="T2" s="58" t="s">
        <v>544</v>
      </c>
      <c r="U2" s="58" t="s">
        <v>780</v>
      </c>
      <c r="V2" s="58" t="s">
        <v>781</v>
      </c>
      <c r="W2" s="58" t="s">
        <v>782</v>
      </c>
      <c r="X2" s="58" t="s">
        <v>783</v>
      </c>
      <c r="Y2" s="58" t="s">
        <v>784</v>
      </c>
      <c r="Z2" s="59" t="s">
        <v>664</v>
      </c>
      <c r="AA2" s="117" t="s">
        <v>785</v>
      </c>
      <c r="AB2" s="58" t="s">
        <v>782</v>
      </c>
      <c r="AC2" s="58" t="s">
        <v>786</v>
      </c>
      <c r="AD2" s="61" t="s">
        <v>550</v>
      </c>
      <c r="AE2" s="62" t="s">
        <v>551</v>
      </c>
      <c r="AF2" s="63" t="s">
        <v>553</v>
      </c>
    </row>
    <row r="3" spans="1:32" s="64" customFormat="1" ht="15" customHeight="1" x14ac:dyDescent="0.25">
      <c r="A3" s="108" t="e">
        <f>IF(UC_DADOS!$B$2=0,"",UC_DADOS!$B$2)</f>
        <v>#N/A</v>
      </c>
      <c r="B3" s="113"/>
      <c r="C3" s="65"/>
      <c r="D3" s="68"/>
      <c r="E3" s="68"/>
      <c r="F3" s="68"/>
      <c r="G3" s="68"/>
      <c r="H3" s="68"/>
      <c r="I3" s="314">
        <f>J3*E3</f>
        <v>0</v>
      </c>
      <c r="J3" s="68"/>
      <c r="K3" s="65"/>
      <c r="L3" s="68"/>
      <c r="M3" s="68"/>
      <c r="N3" s="68"/>
      <c r="O3" s="68"/>
      <c r="P3" s="118"/>
      <c r="Q3" s="68"/>
      <c r="R3" s="68"/>
      <c r="S3" s="68"/>
      <c r="T3" s="68"/>
      <c r="U3" s="119"/>
      <c r="V3" s="68"/>
      <c r="W3" s="68"/>
      <c r="X3" s="68"/>
      <c r="Y3" s="68"/>
      <c r="Z3" s="120"/>
      <c r="AA3" s="65"/>
      <c r="AB3" s="68"/>
      <c r="AC3" s="68"/>
      <c r="AD3" s="109"/>
      <c r="AE3" s="110"/>
      <c r="AF3" s="111"/>
    </row>
    <row r="4" spans="1:32" s="64" customFormat="1" ht="15" customHeight="1" x14ac:dyDescent="0.25">
      <c r="A4" s="108" t="e">
        <f>IF(UC_DADOS!$B$2=0,"",UC_DADOS!$B$2)</f>
        <v>#N/A</v>
      </c>
      <c r="B4" s="113"/>
      <c r="C4" s="65"/>
      <c r="D4" s="68"/>
      <c r="E4" s="68"/>
      <c r="F4" s="68"/>
      <c r="G4" s="68"/>
      <c r="H4" s="68"/>
      <c r="I4" s="314">
        <f t="shared" ref="I4:I67" si="0">J4*E4</f>
        <v>0</v>
      </c>
      <c r="J4" s="68"/>
      <c r="K4" s="65"/>
      <c r="L4" s="68"/>
      <c r="M4" s="68"/>
      <c r="N4" s="68"/>
      <c r="O4" s="68"/>
      <c r="P4" s="118"/>
      <c r="Q4" s="68"/>
      <c r="R4" s="68"/>
      <c r="S4" s="68"/>
      <c r="T4" s="68"/>
      <c r="U4" s="68"/>
      <c r="V4" s="68"/>
      <c r="W4" s="68"/>
      <c r="X4" s="68"/>
      <c r="Y4" s="68"/>
      <c r="Z4" s="114"/>
      <c r="AA4" s="65"/>
      <c r="AB4" s="68"/>
      <c r="AC4" s="68"/>
      <c r="AD4" s="69"/>
      <c r="AE4" s="71"/>
      <c r="AF4" s="114"/>
    </row>
    <row r="5" spans="1:32" s="64" customFormat="1" ht="15" customHeight="1" x14ac:dyDescent="0.25">
      <c r="A5" s="108" t="e">
        <f>IF(UC_DADOS!$B$2=0,"",UC_DADOS!$B$2)</f>
        <v>#N/A</v>
      </c>
      <c r="B5" s="113"/>
      <c r="C5" s="65"/>
      <c r="D5" s="68"/>
      <c r="E5" s="68"/>
      <c r="F5" s="68"/>
      <c r="G5" s="68"/>
      <c r="H5" s="68"/>
      <c r="I5" s="314">
        <f t="shared" si="0"/>
        <v>0</v>
      </c>
      <c r="J5" s="68"/>
      <c r="K5" s="65"/>
      <c r="L5" s="68"/>
      <c r="M5" s="68"/>
      <c r="N5" s="68"/>
      <c r="O5" s="68"/>
      <c r="P5" s="118"/>
      <c r="Q5" s="68"/>
      <c r="R5" s="68"/>
      <c r="S5" s="68"/>
      <c r="T5" s="68"/>
      <c r="U5" s="68"/>
      <c r="V5" s="68"/>
      <c r="W5" s="68"/>
      <c r="X5" s="68"/>
      <c r="Y5" s="68"/>
      <c r="Z5" s="114"/>
      <c r="AA5" s="65"/>
      <c r="AB5" s="68"/>
      <c r="AC5" s="68"/>
      <c r="AD5" s="69"/>
      <c r="AE5" s="71"/>
      <c r="AF5" s="114"/>
    </row>
    <row r="6" spans="1:32" s="64" customFormat="1" ht="15" customHeight="1" x14ac:dyDescent="0.25">
      <c r="A6" s="108" t="e">
        <f>IF(UC_DADOS!$B$2=0,"",UC_DADOS!$B$2)</f>
        <v>#N/A</v>
      </c>
      <c r="B6" s="113"/>
      <c r="C6" s="65"/>
      <c r="D6" s="68"/>
      <c r="E6" s="68"/>
      <c r="F6" s="68"/>
      <c r="G6" s="68"/>
      <c r="H6" s="68"/>
      <c r="I6" s="314">
        <f t="shared" si="0"/>
        <v>0</v>
      </c>
      <c r="J6" s="68"/>
      <c r="K6" s="65"/>
      <c r="L6" s="68"/>
      <c r="M6" s="68"/>
      <c r="N6" s="68"/>
      <c r="O6" s="68"/>
      <c r="P6" s="118"/>
      <c r="Q6" s="68"/>
      <c r="R6" s="68"/>
      <c r="S6" s="68"/>
      <c r="T6" s="68"/>
      <c r="U6" s="68"/>
      <c r="V6" s="68"/>
      <c r="W6" s="68"/>
      <c r="X6" s="68"/>
      <c r="Y6" s="68"/>
      <c r="Z6" s="114"/>
      <c r="AA6" s="65"/>
      <c r="AB6" s="68"/>
      <c r="AC6" s="68"/>
      <c r="AD6" s="69"/>
      <c r="AE6" s="71"/>
      <c r="AF6" s="114"/>
    </row>
    <row r="7" spans="1:32" s="64" customFormat="1" ht="15" customHeight="1" x14ac:dyDescent="0.25">
      <c r="A7" s="108" t="e">
        <f>IF(UC_DADOS!$B$2=0,"",UC_DADOS!$B$2)</f>
        <v>#N/A</v>
      </c>
      <c r="B7" s="113"/>
      <c r="C7" s="65"/>
      <c r="D7" s="68"/>
      <c r="E7" s="68"/>
      <c r="F7" s="68"/>
      <c r="G7" s="68"/>
      <c r="H7" s="68"/>
      <c r="I7" s="314">
        <f t="shared" si="0"/>
        <v>0</v>
      </c>
      <c r="J7" s="68"/>
      <c r="K7" s="65"/>
      <c r="L7" s="68"/>
      <c r="M7" s="68"/>
      <c r="N7" s="68"/>
      <c r="O7" s="68"/>
      <c r="P7" s="118"/>
      <c r="Q7" s="68"/>
      <c r="R7" s="68"/>
      <c r="S7" s="68"/>
      <c r="T7" s="68"/>
      <c r="U7" s="68"/>
      <c r="V7" s="68"/>
      <c r="W7" s="68"/>
      <c r="X7" s="68"/>
      <c r="Y7" s="68"/>
      <c r="Z7" s="114"/>
      <c r="AA7" s="65"/>
      <c r="AB7" s="68"/>
      <c r="AC7" s="68"/>
      <c r="AD7" s="69"/>
      <c r="AE7" s="71"/>
      <c r="AF7" s="114"/>
    </row>
    <row r="8" spans="1:32" s="64" customFormat="1" ht="15" customHeight="1" x14ac:dyDescent="0.25">
      <c r="A8" s="108" t="e">
        <f>IF(UC_DADOS!$B$2=0,"",UC_DADOS!$B$2)</f>
        <v>#N/A</v>
      </c>
      <c r="B8" s="113"/>
      <c r="C8" s="65"/>
      <c r="D8" s="68"/>
      <c r="E8" s="68"/>
      <c r="F8" s="68"/>
      <c r="G8" s="68"/>
      <c r="H8" s="68"/>
      <c r="I8" s="314">
        <f t="shared" si="0"/>
        <v>0</v>
      </c>
      <c r="J8" s="68"/>
      <c r="K8" s="65"/>
      <c r="L8" s="68"/>
      <c r="M8" s="68"/>
      <c r="N8" s="68"/>
      <c r="O8" s="68"/>
      <c r="P8" s="118"/>
      <c r="Q8" s="68"/>
      <c r="R8" s="68"/>
      <c r="S8" s="68"/>
      <c r="T8" s="68"/>
      <c r="U8" s="68"/>
      <c r="V8" s="68"/>
      <c r="W8" s="68"/>
      <c r="X8" s="68"/>
      <c r="Y8" s="68"/>
      <c r="Z8" s="114"/>
      <c r="AA8" s="65"/>
      <c r="AB8" s="68"/>
      <c r="AC8" s="68"/>
      <c r="AD8" s="69"/>
      <c r="AE8" s="71"/>
      <c r="AF8" s="114"/>
    </row>
    <row r="9" spans="1:32" s="64" customFormat="1" ht="15" customHeight="1" x14ac:dyDescent="0.25">
      <c r="A9" s="108" t="e">
        <f>IF(UC_DADOS!$B$2=0,"",UC_DADOS!$B$2)</f>
        <v>#N/A</v>
      </c>
      <c r="B9" s="113"/>
      <c r="C9" s="65"/>
      <c r="D9" s="68"/>
      <c r="E9" s="68"/>
      <c r="F9" s="68"/>
      <c r="G9" s="68"/>
      <c r="H9" s="68"/>
      <c r="I9" s="314">
        <f t="shared" si="0"/>
        <v>0</v>
      </c>
      <c r="J9" s="68"/>
      <c r="K9" s="65"/>
      <c r="L9" s="68"/>
      <c r="M9" s="68"/>
      <c r="N9" s="68"/>
      <c r="O9" s="68"/>
      <c r="P9" s="118"/>
      <c r="Q9" s="68"/>
      <c r="R9" s="68"/>
      <c r="S9" s="68"/>
      <c r="T9" s="68"/>
      <c r="U9" s="68"/>
      <c r="V9" s="68"/>
      <c r="W9" s="68"/>
      <c r="X9" s="68"/>
      <c r="Y9" s="68"/>
      <c r="Z9" s="114"/>
      <c r="AA9" s="65"/>
      <c r="AB9" s="68"/>
      <c r="AC9" s="68"/>
      <c r="AD9" s="69"/>
      <c r="AE9" s="71"/>
      <c r="AF9" s="114"/>
    </row>
    <row r="10" spans="1:32" s="64" customFormat="1" ht="15" customHeight="1" x14ac:dyDescent="0.25">
      <c r="A10" s="108" t="e">
        <f>IF(UC_DADOS!$B$2=0,"",UC_DADOS!$B$2)</f>
        <v>#N/A</v>
      </c>
      <c r="B10" s="113"/>
      <c r="C10" s="65"/>
      <c r="D10" s="68"/>
      <c r="E10" s="68"/>
      <c r="F10" s="68"/>
      <c r="G10" s="68"/>
      <c r="H10" s="68"/>
      <c r="I10" s="314">
        <f t="shared" si="0"/>
        <v>0</v>
      </c>
      <c r="J10" s="68"/>
      <c r="K10" s="65"/>
      <c r="L10" s="68"/>
      <c r="M10" s="68"/>
      <c r="N10" s="68"/>
      <c r="O10" s="68"/>
      <c r="P10" s="118"/>
      <c r="Q10" s="68"/>
      <c r="R10" s="68"/>
      <c r="S10" s="68"/>
      <c r="T10" s="68"/>
      <c r="U10" s="68"/>
      <c r="V10" s="68"/>
      <c r="W10" s="68"/>
      <c r="X10" s="68"/>
      <c r="Y10" s="68"/>
      <c r="Z10" s="114"/>
      <c r="AA10" s="65"/>
      <c r="AB10" s="68"/>
      <c r="AC10" s="68"/>
      <c r="AD10" s="69"/>
      <c r="AE10" s="71"/>
      <c r="AF10" s="114"/>
    </row>
    <row r="11" spans="1:32" s="64" customFormat="1" ht="15" customHeight="1" x14ac:dyDescent="0.25">
      <c r="A11" s="108" t="e">
        <f>IF(UC_DADOS!$B$2=0,"",UC_DADOS!$B$2)</f>
        <v>#N/A</v>
      </c>
      <c r="B11" s="113"/>
      <c r="C11" s="65"/>
      <c r="D11" s="68"/>
      <c r="E11" s="68"/>
      <c r="F11" s="68"/>
      <c r="G11" s="68"/>
      <c r="H11" s="68"/>
      <c r="I11" s="314">
        <f t="shared" si="0"/>
        <v>0</v>
      </c>
      <c r="J11" s="68"/>
      <c r="K11" s="65"/>
      <c r="L11" s="68"/>
      <c r="M11" s="68"/>
      <c r="N11" s="68"/>
      <c r="O11" s="68"/>
      <c r="P11" s="118"/>
      <c r="Q11" s="68"/>
      <c r="R11" s="68"/>
      <c r="S11" s="68"/>
      <c r="T11" s="68"/>
      <c r="U11" s="68"/>
      <c r="V11" s="68"/>
      <c r="W11" s="68"/>
      <c r="X11" s="68"/>
      <c r="Y11" s="68"/>
      <c r="Z11" s="114"/>
      <c r="AA11" s="65"/>
      <c r="AB11" s="68"/>
      <c r="AC11" s="68"/>
      <c r="AD11" s="69"/>
      <c r="AE11" s="71"/>
      <c r="AF11" s="114"/>
    </row>
    <row r="12" spans="1:32" s="64" customFormat="1" ht="15" customHeight="1" x14ac:dyDescent="0.25">
      <c r="A12" s="108" t="e">
        <f>IF(UC_DADOS!$B$2=0,"",UC_DADOS!$B$2)</f>
        <v>#N/A</v>
      </c>
      <c r="B12" s="113"/>
      <c r="C12" s="65"/>
      <c r="D12" s="68"/>
      <c r="E12" s="68"/>
      <c r="F12" s="68"/>
      <c r="G12" s="68"/>
      <c r="H12" s="68"/>
      <c r="I12" s="314">
        <f t="shared" si="0"/>
        <v>0</v>
      </c>
      <c r="J12" s="68"/>
      <c r="K12" s="65"/>
      <c r="L12" s="68"/>
      <c r="M12" s="68"/>
      <c r="N12" s="68"/>
      <c r="O12" s="68"/>
      <c r="P12" s="118"/>
      <c r="Q12" s="68"/>
      <c r="R12" s="68"/>
      <c r="S12" s="68"/>
      <c r="T12" s="68"/>
      <c r="U12" s="68"/>
      <c r="V12" s="68"/>
      <c r="W12" s="68"/>
      <c r="X12" s="68"/>
      <c r="Y12" s="68"/>
      <c r="Z12" s="114"/>
      <c r="AA12" s="65"/>
      <c r="AB12" s="68"/>
      <c r="AC12" s="68"/>
      <c r="AD12" s="69"/>
      <c r="AE12" s="71"/>
      <c r="AF12" s="114"/>
    </row>
    <row r="13" spans="1:32" s="64" customFormat="1" ht="15" customHeight="1" x14ac:dyDescent="0.25">
      <c r="A13" s="108" t="e">
        <f>IF(UC_DADOS!$B$2=0,"",UC_DADOS!$B$2)</f>
        <v>#N/A</v>
      </c>
      <c r="B13" s="113"/>
      <c r="C13" s="65"/>
      <c r="D13" s="68"/>
      <c r="E13" s="68"/>
      <c r="F13" s="68"/>
      <c r="G13" s="68"/>
      <c r="H13" s="68"/>
      <c r="I13" s="314">
        <f t="shared" si="0"/>
        <v>0</v>
      </c>
      <c r="J13" s="68"/>
      <c r="K13" s="65"/>
      <c r="L13" s="68"/>
      <c r="M13" s="68"/>
      <c r="N13" s="68"/>
      <c r="O13" s="68"/>
      <c r="P13" s="118"/>
      <c r="Q13" s="68"/>
      <c r="R13" s="68"/>
      <c r="S13" s="68"/>
      <c r="T13" s="68"/>
      <c r="U13" s="68"/>
      <c r="V13" s="68"/>
      <c r="W13" s="68"/>
      <c r="X13" s="68"/>
      <c r="Y13" s="68"/>
      <c r="Z13" s="114"/>
      <c r="AA13" s="65"/>
      <c r="AB13" s="68"/>
      <c r="AC13" s="68"/>
      <c r="AD13" s="69"/>
      <c r="AE13" s="71"/>
      <c r="AF13" s="114"/>
    </row>
    <row r="14" spans="1:32" s="64" customFormat="1" ht="15" customHeight="1" x14ac:dyDescent="0.25">
      <c r="A14" s="108" t="e">
        <f>IF(UC_DADOS!$B$2=0,"",UC_DADOS!$B$2)</f>
        <v>#N/A</v>
      </c>
      <c r="B14" s="113"/>
      <c r="C14" s="65"/>
      <c r="D14" s="68"/>
      <c r="E14" s="68"/>
      <c r="F14" s="68"/>
      <c r="G14" s="68"/>
      <c r="H14" s="68"/>
      <c r="I14" s="314">
        <f t="shared" si="0"/>
        <v>0</v>
      </c>
      <c r="J14" s="68"/>
      <c r="K14" s="65"/>
      <c r="L14" s="68"/>
      <c r="M14" s="68"/>
      <c r="N14" s="68"/>
      <c r="O14" s="68"/>
      <c r="P14" s="118"/>
      <c r="Q14" s="68"/>
      <c r="R14" s="68"/>
      <c r="S14" s="68"/>
      <c r="T14" s="68"/>
      <c r="U14" s="68"/>
      <c r="V14" s="68"/>
      <c r="W14" s="68"/>
      <c r="X14" s="68"/>
      <c r="Y14" s="68"/>
      <c r="Z14" s="114"/>
      <c r="AA14" s="65"/>
      <c r="AB14" s="68"/>
      <c r="AC14" s="68"/>
      <c r="AD14" s="69"/>
      <c r="AE14" s="71"/>
      <c r="AF14" s="114"/>
    </row>
    <row r="15" spans="1:32" s="64" customFormat="1" ht="15" customHeight="1" x14ac:dyDescent="0.25">
      <c r="A15" s="108" t="e">
        <f>IF(UC_DADOS!$B$2=0,"",UC_DADOS!$B$2)</f>
        <v>#N/A</v>
      </c>
      <c r="B15" s="113"/>
      <c r="C15" s="65"/>
      <c r="D15" s="68"/>
      <c r="E15" s="68"/>
      <c r="F15" s="68"/>
      <c r="G15" s="68"/>
      <c r="H15" s="68"/>
      <c r="I15" s="314">
        <f t="shared" si="0"/>
        <v>0</v>
      </c>
      <c r="J15" s="68"/>
      <c r="K15" s="65"/>
      <c r="L15" s="68"/>
      <c r="M15" s="68"/>
      <c r="N15" s="68"/>
      <c r="O15" s="68"/>
      <c r="P15" s="118"/>
      <c r="Q15" s="68"/>
      <c r="R15" s="68"/>
      <c r="S15" s="68"/>
      <c r="T15" s="68"/>
      <c r="U15" s="68"/>
      <c r="V15" s="68"/>
      <c r="W15" s="68"/>
      <c r="X15" s="68"/>
      <c r="Y15" s="68"/>
      <c r="Z15" s="114"/>
      <c r="AA15" s="65"/>
      <c r="AB15" s="68"/>
      <c r="AC15" s="68"/>
      <c r="AD15" s="69"/>
      <c r="AE15" s="71"/>
      <c r="AF15" s="114"/>
    </row>
    <row r="16" spans="1:32" s="64" customFormat="1" ht="15" customHeight="1" x14ac:dyDescent="0.25">
      <c r="A16" s="108" t="e">
        <f>IF(UC_DADOS!$B$2=0,"",UC_DADOS!$B$2)</f>
        <v>#N/A</v>
      </c>
      <c r="B16" s="113"/>
      <c r="C16" s="65"/>
      <c r="D16" s="68"/>
      <c r="E16" s="68"/>
      <c r="F16" s="68"/>
      <c r="G16" s="68"/>
      <c r="H16" s="68"/>
      <c r="I16" s="314">
        <f t="shared" si="0"/>
        <v>0</v>
      </c>
      <c r="J16" s="68"/>
      <c r="K16" s="65"/>
      <c r="L16" s="68"/>
      <c r="M16" s="68"/>
      <c r="N16" s="68"/>
      <c r="O16" s="68"/>
      <c r="P16" s="118"/>
      <c r="Q16" s="68"/>
      <c r="R16" s="68"/>
      <c r="S16" s="68"/>
      <c r="T16" s="68"/>
      <c r="U16" s="68"/>
      <c r="V16" s="68"/>
      <c r="W16" s="68"/>
      <c r="X16" s="68"/>
      <c r="Y16" s="68"/>
      <c r="Z16" s="114"/>
      <c r="AA16" s="65"/>
      <c r="AB16" s="68"/>
      <c r="AC16" s="68"/>
      <c r="AD16" s="69"/>
      <c r="AE16" s="71"/>
      <c r="AF16" s="114"/>
    </row>
    <row r="17" spans="1:32" s="64" customFormat="1" ht="15" customHeight="1" x14ac:dyDescent="0.25">
      <c r="A17" s="108" t="e">
        <f>IF(UC_DADOS!$B$2=0,"",UC_DADOS!$B$2)</f>
        <v>#N/A</v>
      </c>
      <c r="B17" s="113"/>
      <c r="C17" s="65"/>
      <c r="D17" s="68"/>
      <c r="E17" s="68"/>
      <c r="F17" s="68"/>
      <c r="G17" s="68"/>
      <c r="H17" s="68"/>
      <c r="I17" s="314">
        <f t="shared" si="0"/>
        <v>0</v>
      </c>
      <c r="J17" s="68"/>
      <c r="K17" s="65"/>
      <c r="L17" s="68"/>
      <c r="M17" s="68"/>
      <c r="N17" s="68"/>
      <c r="O17" s="68"/>
      <c r="P17" s="118"/>
      <c r="Q17" s="68"/>
      <c r="R17" s="68"/>
      <c r="S17" s="68"/>
      <c r="T17" s="68"/>
      <c r="U17" s="68"/>
      <c r="V17" s="68"/>
      <c r="W17" s="68"/>
      <c r="X17" s="68"/>
      <c r="Y17" s="68"/>
      <c r="Z17" s="114"/>
      <c r="AA17" s="65"/>
      <c r="AB17" s="68"/>
      <c r="AC17" s="68"/>
      <c r="AD17" s="69"/>
      <c r="AE17" s="71"/>
      <c r="AF17" s="114"/>
    </row>
    <row r="18" spans="1:32" s="64" customFormat="1" ht="15" customHeight="1" x14ac:dyDescent="0.25">
      <c r="A18" s="108" t="e">
        <f>IF(UC_DADOS!$B$2=0,"",UC_DADOS!$B$2)</f>
        <v>#N/A</v>
      </c>
      <c r="B18" s="113"/>
      <c r="C18" s="65"/>
      <c r="D18" s="68"/>
      <c r="E18" s="68"/>
      <c r="F18" s="68"/>
      <c r="G18" s="68"/>
      <c r="H18" s="68"/>
      <c r="I18" s="314">
        <f t="shared" si="0"/>
        <v>0</v>
      </c>
      <c r="J18" s="68"/>
      <c r="K18" s="65"/>
      <c r="L18" s="68"/>
      <c r="M18" s="68"/>
      <c r="N18" s="68"/>
      <c r="O18" s="68"/>
      <c r="P18" s="118"/>
      <c r="Q18" s="68"/>
      <c r="R18" s="68"/>
      <c r="S18" s="68"/>
      <c r="T18" s="68"/>
      <c r="U18" s="68"/>
      <c r="V18" s="68"/>
      <c r="W18" s="68"/>
      <c r="X18" s="68"/>
      <c r="Y18" s="68"/>
      <c r="Z18" s="114"/>
      <c r="AA18" s="65"/>
      <c r="AB18" s="68"/>
      <c r="AC18" s="68"/>
      <c r="AD18" s="69"/>
      <c r="AE18" s="71"/>
      <c r="AF18" s="114"/>
    </row>
    <row r="19" spans="1:32" s="64" customFormat="1" ht="15" customHeight="1" x14ac:dyDescent="0.25">
      <c r="A19" s="108" t="e">
        <f>IF(UC_DADOS!$B$2=0,"",UC_DADOS!$B$2)</f>
        <v>#N/A</v>
      </c>
      <c r="B19" s="113"/>
      <c r="C19" s="65"/>
      <c r="D19" s="68"/>
      <c r="E19" s="68"/>
      <c r="F19" s="68"/>
      <c r="G19" s="68"/>
      <c r="H19" s="68"/>
      <c r="I19" s="314">
        <f t="shared" si="0"/>
        <v>0</v>
      </c>
      <c r="J19" s="68"/>
      <c r="K19" s="65"/>
      <c r="L19" s="68"/>
      <c r="M19" s="68"/>
      <c r="N19" s="68"/>
      <c r="O19" s="68"/>
      <c r="P19" s="118"/>
      <c r="Q19" s="68"/>
      <c r="R19" s="68"/>
      <c r="S19" s="68"/>
      <c r="T19" s="68"/>
      <c r="U19" s="68"/>
      <c r="V19" s="68"/>
      <c r="W19" s="68"/>
      <c r="X19" s="68"/>
      <c r="Y19" s="68"/>
      <c r="Z19" s="114"/>
      <c r="AA19" s="65"/>
      <c r="AB19" s="68"/>
      <c r="AC19" s="68"/>
      <c r="AD19" s="69"/>
      <c r="AE19" s="71"/>
      <c r="AF19" s="114"/>
    </row>
    <row r="20" spans="1:32" s="64" customFormat="1" ht="15" customHeight="1" x14ac:dyDescent="0.25">
      <c r="A20" s="108" t="e">
        <f>IF(UC_DADOS!$B$2=0,"",UC_DADOS!$B$2)</f>
        <v>#N/A</v>
      </c>
      <c r="B20" s="113"/>
      <c r="C20" s="65"/>
      <c r="D20" s="68"/>
      <c r="E20" s="68"/>
      <c r="F20" s="68"/>
      <c r="G20" s="68"/>
      <c r="H20" s="68"/>
      <c r="I20" s="314">
        <f t="shared" si="0"/>
        <v>0</v>
      </c>
      <c r="J20" s="68"/>
      <c r="K20" s="65"/>
      <c r="L20" s="68"/>
      <c r="M20" s="68"/>
      <c r="N20" s="68"/>
      <c r="O20" s="68"/>
      <c r="P20" s="118"/>
      <c r="Q20" s="68"/>
      <c r="R20" s="68"/>
      <c r="S20" s="68"/>
      <c r="T20" s="68"/>
      <c r="U20" s="68"/>
      <c r="V20" s="68"/>
      <c r="W20" s="68"/>
      <c r="X20" s="68"/>
      <c r="Y20" s="68"/>
      <c r="Z20" s="114"/>
      <c r="AA20" s="65"/>
      <c r="AB20" s="68"/>
      <c r="AC20" s="68"/>
      <c r="AD20" s="69"/>
      <c r="AE20" s="71"/>
      <c r="AF20" s="114"/>
    </row>
    <row r="21" spans="1:32" s="64" customFormat="1" ht="15" customHeight="1" x14ac:dyDescent="0.25">
      <c r="A21" s="108" t="e">
        <f>IF(UC_DADOS!$B$2=0,"",UC_DADOS!$B$2)</f>
        <v>#N/A</v>
      </c>
      <c r="B21" s="113"/>
      <c r="C21" s="65"/>
      <c r="D21" s="68"/>
      <c r="E21" s="68"/>
      <c r="F21" s="68"/>
      <c r="G21" s="68"/>
      <c r="H21" s="68"/>
      <c r="I21" s="314">
        <f t="shared" si="0"/>
        <v>0</v>
      </c>
      <c r="J21" s="68"/>
      <c r="K21" s="65"/>
      <c r="L21" s="68"/>
      <c r="M21" s="68"/>
      <c r="N21" s="68"/>
      <c r="O21" s="68"/>
      <c r="P21" s="118"/>
      <c r="Q21" s="68"/>
      <c r="R21" s="68"/>
      <c r="S21" s="68"/>
      <c r="T21" s="68"/>
      <c r="U21" s="68"/>
      <c r="V21" s="68"/>
      <c r="W21" s="68"/>
      <c r="X21" s="68"/>
      <c r="Y21" s="68"/>
      <c r="Z21" s="114"/>
      <c r="AA21" s="65"/>
      <c r="AB21" s="68"/>
      <c r="AC21" s="68"/>
      <c r="AD21" s="69"/>
      <c r="AE21" s="71"/>
      <c r="AF21" s="114"/>
    </row>
    <row r="22" spans="1:32" s="64" customFormat="1" ht="15" customHeight="1" x14ac:dyDescent="0.25">
      <c r="A22" s="108" t="e">
        <f>IF(UC_DADOS!$B$2=0,"",UC_DADOS!$B$2)</f>
        <v>#N/A</v>
      </c>
      <c r="B22" s="113"/>
      <c r="C22" s="65"/>
      <c r="D22" s="68"/>
      <c r="E22" s="68"/>
      <c r="F22" s="68"/>
      <c r="G22" s="68"/>
      <c r="H22" s="68"/>
      <c r="I22" s="314">
        <f t="shared" si="0"/>
        <v>0</v>
      </c>
      <c r="J22" s="68"/>
      <c r="K22" s="65"/>
      <c r="L22" s="68"/>
      <c r="M22" s="68"/>
      <c r="N22" s="68"/>
      <c r="O22" s="68"/>
      <c r="P22" s="118"/>
      <c r="Q22" s="68"/>
      <c r="R22" s="68"/>
      <c r="S22" s="68"/>
      <c r="T22" s="68"/>
      <c r="U22" s="68"/>
      <c r="V22" s="68"/>
      <c r="W22" s="68"/>
      <c r="X22" s="68"/>
      <c r="Y22" s="68"/>
      <c r="Z22" s="114"/>
      <c r="AA22" s="65"/>
      <c r="AB22" s="68"/>
      <c r="AC22" s="68"/>
      <c r="AD22" s="69"/>
      <c r="AE22" s="71"/>
      <c r="AF22" s="114"/>
    </row>
    <row r="23" spans="1:32" s="64" customFormat="1" ht="15" customHeight="1" x14ac:dyDescent="0.25">
      <c r="A23" s="108" t="e">
        <f>IF(UC_DADOS!$B$2=0,"",UC_DADOS!$B$2)</f>
        <v>#N/A</v>
      </c>
      <c r="B23" s="113"/>
      <c r="C23" s="65"/>
      <c r="D23" s="68"/>
      <c r="E23" s="68"/>
      <c r="F23" s="68"/>
      <c r="G23" s="68"/>
      <c r="H23" s="68"/>
      <c r="I23" s="314">
        <f t="shared" si="0"/>
        <v>0</v>
      </c>
      <c r="J23" s="68"/>
      <c r="K23" s="65"/>
      <c r="L23" s="68"/>
      <c r="M23" s="68"/>
      <c r="N23" s="68"/>
      <c r="O23" s="68"/>
      <c r="P23" s="118"/>
      <c r="Q23" s="68"/>
      <c r="R23" s="68"/>
      <c r="S23" s="68"/>
      <c r="T23" s="68"/>
      <c r="U23" s="68"/>
      <c r="V23" s="68"/>
      <c r="W23" s="68"/>
      <c r="X23" s="68"/>
      <c r="Y23" s="68"/>
      <c r="Z23" s="114"/>
      <c r="AA23" s="65"/>
      <c r="AB23" s="68"/>
      <c r="AC23" s="68"/>
      <c r="AD23" s="69"/>
      <c r="AE23" s="71"/>
      <c r="AF23" s="114"/>
    </row>
    <row r="24" spans="1:32" s="64" customFormat="1" ht="15" customHeight="1" x14ac:dyDescent="0.25">
      <c r="A24" s="108" t="e">
        <f>IF(UC_DADOS!$B$2=0,"",UC_DADOS!$B$2)</f>
        <v>#N/A</v>
      </c>
      <c r="B24" s="113"/>
      <c r="C24" s="65"/>
      <c r="D24" s="68"/>
      <c r="E24" s="68"/>
      <c r="F24" s="68"/>
      <c r="G24" s="68"/>
      <c r="H24" s="68"/>
      <c r="I24" s="314">
        <f t="shared" si="0"/>
        <v>0</v>
      </c>
      <c r="J24" s="68"/>
      <c r="K24" s="65"/>
      <c r="L24" s="68"/>
      <c r="M24" s="68"/>
      <c r="N24" s="68"/>
      <c r="O24" s="68"/>
      <c r="P24" s="118"/>
      <c r="Q24" s="68"/>
      <c r="R24" s="68"/>
      <c r="S24" s="68"/>
      <c r="T24" s="68"/>
      <c r="U24" s="68"/>
      <c r="V24" s="68"/>
      <c r="W24" s="68"/>
      <c r="X24" s="68"/>
      <c r="Y24" s="68"/>
      <c r="Z24" s="114"/>
      <c r="AA24" s="65"/>
      <c r="AB24" s="68"/>
      <c r="AC24" s="68"/>
      <c r="AD24" s="69"/>
      <c r="AE24" s="71"/>
      <c r="AF24" s="114"/>
    </row>
    <row r="25" spans="1:32" s="64" customFormat="1" ht="15" customHeight="1" x14ac:dyDescent="0.25">
      <c r="A25" s="108" t="e">
        <f>IF(UC_DADOS!$B$2=0,"",UC_DADOS!$B$2)</f>
        <v>#N/A</v>
      </c>
      <c r="B25" s="113"/>
      <c r="C25" s="65"/>
      <c r="D25" s="68"/>
      <c r="E25" s="68"/>
      <c r="F25" s="68"/>
      <c r="G25" s="68"/>
      <c r="H25" s="68"/>
      <c r="I25" s="314">
        <f t="shared" si="0"/>
        <v>0</v>
      </c>
      <c r="J25" s="68"/>
      <c r="K25" s="65"/>
      <c r="L25" s="68"/>
      <c r="M25" s="68"/>
      <c r="N25" s="68"/>
      <c r="O25" s="68"/>
      <c r="P25" s="118"/>
      <c r="Q25" s="68"/>
      <c r="R25" s="68"/>
      <c r="S25" s="68"/>
      <c r="T25" s="68"/>
      <c r="U25" s="68"/>
      <c r="V25" s="68"/>
      <c r="W25" s="68"/>
      <c r="X25" s="68"/>
      <c r="Y25" s="68"/>
      <c r="Z25" s="114"/>
      <c r="AA25" s="65"/>
      <c r="AB25" s="68"/>
      <c r="AC25" s="68"/>
      <c r="AD25" s="69"/>
      <c r="AE25" s="71"/>
      <c r="AF25" s="114"/>
    </row>
    <row r="26" spans="1:32" s="64" customFormat="1" ht="15" customHeight="1" x14ac:dyDescent="0.25">
      <c r="A26" s="108" t="e">
        <f>IF(UC_DADOS!$B$2=0,"",UC_DADOS!$B$2)</f>
        <v>#N/A</v>
      </c>
      <c r="B26" s="113"/>
      <c r="C26" s="65"/>
      <c r="D26" s="68"/>
      <c r="E26" s="68"/>
      <c r="F26" s="68"/>
      <c r="G26" s="68"/>
      <c r="H26" s="68"/>
      <c r="I26" s="314">
        <f t="shared" si="0"/>
        <v>0</v>
      </c>
      <c r="J26" s="68"/>
      <c r="K26" s="65"/>
      <c r="L26" s="68"/>
      <c r="M26" s="68"/>
      <c r="N26" s="68"/>
      <c r="O26" s="68"/>
      <c r="P26" s="118"/>
      <c r="Q26" s="68"/>
      <c r="R26" s="68"/>
      <c r="S26" s="68"/>
      <c r="T26" s="68"/>
      <c r="U26" s="68"/>
      <c r="V26" s="68"/>
      <c r="W26" s="68"/>
      <c r="X26" s="68"/>
      <c r="Y26" s="68"/>
      <c r="Z26" s="114"/>
      <c r="AA26" s="65"/>
      <c r="AB26" s="68"/>
      <c r="AC26" s="68"/>
      <c r="AD26" s="69"/>
      <c r="AE26" s="71"/>
      <c r="AF26" s="114"/>
    </row>
    <row r="27" spans="1:32" s="64" customFormat="1" ht="15" customHeight="1" x14ac:dyDescent="0.25">
      <c r="A27" s="108" t="e">
        <f>IF(UC_DADOS!$B$2=0,"",UC_DADOS!$B$2)</f>
        <v>#N/A</v>
      </c>
      <c r="B27" s="113"/>
      <c r="C27" s="65"/>
      <c r="D27" s="68"/>
      <c r="E27" s="68"/>
      <c r="F27" s="68"/>
      <c r="G27" s="68"/>
      <c r="H27" s="68"/>
      <c r="I27" s="314">
        <f t="shared" si="0"/>
        <v>0</v>
      </c>
      <c r="J27" s="68"/>
      <c r="K27" s="65"/>
      <c r="L27" s="68"/>
      <c r="M27" s="68"/>
      <c r="N27" s="68"/>
      <c r="O27" s="68"/>
      <c r="P27" s="118"/>
      <c r="Q27" s="68"/>
      <c r="R27" s="68"/>
      <c r="S27" s="68"/>
      <c r="T27" s="68"/>
      <c r="U27" s="68"/>
      <c r="V27" s="68"/>
      <c r="W27" s="68"/>
      <c r="X27" s="68"/>
      <c r="Y27" s="68"/>
      <c r="Z27" s="114"/>
      <c r="AA27" s="65"/>
      <c r="AB27" s="68"/>
      <c r="AC27" s="68"/>
      <c r="AD27" s="69"/>
      <c r="AE27" s="71"/>
      <c r="AF27" s="114"/>
    </row>
    <row r="28" spans="1:32" s="64" customFormat="1" ht="15" customHeight="1" x14ac:dyDescent="0.25">
      <c r="A28" s="108" t="e">
        <f>IF(UC_DADOS!$B$2=0,"",UC_DADOS!$B$2)</f>
        <v>#N/A</v>
      </c>
      <c r="B28" s="113"/>
      <c r="C28" s="65"/>
      <c r="D28" s="68"/>
      <c r="E28" s="68"/>
      <c r="F28" s="68"/>
      <c r="G28" s="68"/>
      <c r="H28" s="68"/>
      <c r="I28" s="314">
        <f t="shared" si="0"/>
        <v>0</v>
      </c>
      <c r="J28" s="68"/>
      <c r="K28" s="65"/>
      <c r="L28" s="68"/>
      <c r="M28" s="68"/>
      <c r="N28" s="68"/>
      <c r="O28" s="68"/>
      <c r="P28" s="118"/>
      <c r="Q28" s="68"/>
      <c r="R28" s="68"/>
      <c r="S28" s="68"/>
      <c r="T28" s="68"/>
      <c r="U28" s="68"/>
      <c r="V28" s="68"/>
      <c r="W28" s="68"/>
      <c r="X28" s="68"/>
      <c r="Y28" s="68"/>
      <c r="Z28" s="114"/>
      <c r="AA28" s="65"/>
      <c r="AB28" s="68"/>
      <c r="AC28" s="68"/>
      <c r="AD28" s="69"/>
      <c r="AE28" s="71"/>
      <c r="AF28" s="114"/>
    </row>
    <row r="29" spans="1:32" s="64" customFormat="1" ht="15" customHeight="1" x14ac:dyDescent="0.25">
      <c r="A29" s="108" t="e">
        <f>IF(UC_DADOS!$B$2=0,"",UC_DADOS!$B$2)</f>
        <v>#N/A</v>
      </c>
      <c r="B29" s="113"/>
      <c r="C29" s="65"/>
      <c r="D29" s="68"/>
      <c r="E29" s="68"/>
      <c r="F29" s="68"/>
      <c r="G29" s="68"/>
      <c r="H29" s="68"/>
      <c r="I29" s="314">
        <f t="shared" si="0"/>
        <v>0</v>
      </c>
      <c r="J29" s="68"/>
      <c r="K29" s="65"/>
      <c r="L29" s="68"/>
      <c r="M29" s="68"/>
      <c r="N29" s="68"/>
      <c r="O29" s="68"/>
      <c r="P29" s="118"/>
      <c r="Q29" s="68"/>
      <c r="R29" s="68"/>
      <c r="S29" s="68"/>
      <c r="T29" s="68"/>
      <c r="U29" s="68"/>
      <c r="V29" s="68"/>
      <c r="W29" s="68"/>
      <c r="X29" s="68"/>
      <c r="Y29" s="68"/>
      <c r="Z29" s="114"/>
      <c r="AA29" s="65"/>
      <c r="AB29" s="68"/>
      <c r="AC29" s="68"/>
      <c r="AD29" s="69"/>
      <c r="AE29" s="71"/>
      <c r="AF29" s="114"/>
    </row>
    <row r="30" spans="1:32" s="64" customFormat="1" ht="15" customHeight="1" x14ac:dyDescent="0.25">
      <c r="A30" s="108" t="e">
        <f>IF(UC_DADOS!$B$2=0,"",UC_DADOS!$B$2)</f>
        <v>#N/A</v>
      </c>
      <c r="B30" s="113"/>
      <c r="C30" s="65"/>
      <c r="D30" s="68"/>
      <c r="E30" s="68"/>
      <c r="F30" s="68"/>
      <c r="G30" s="68"/>
      <c r="H30" s="68"/>
      <c r="I30" s="314">
        <f t="shared" si="0"/>
        <v>0</v>
      </c>
      <c r="J30" s="68"/>
      <c r="K30" s="65"/>
      <c r="L30" s="68"/>
      <c r="M30" s="68"/>
      <c r="N30" s="68"/>
      <c r="O30" s="68"/>
      <c r="P30" s="118"/>
      <c r="Q30" s="68"/>
      <c r="R30" s="68"/>
      <c r="S30" s="68"/>
      <c r="T30" s="68"/>
      <c r="U30" s="68"/>
      <c r="V30" s="68"/>
      <c r="W30" s="68"/>
      <c r="X30" s="68"/>
      <c r="Y30" s="68"/>
      <c r="Z30" s="114"/>
      <c r="AA30" s="65"/>
      <c r="AB30" s="68"/>
      <c r="AC30" s="68"/>
      <c r="AD30" s="69"/>
      <c r="AE30" s="71"/>
      <c r="AF30" s="114"/>
    </row>
    <row r="31" spans="1:32" s="64" customFormat="1" ht="15" customHeight="1" x14ac:dyDescent="0.25">
      <c r="A31" s="108" t="e">
        <f>IF(UC_DADOS!$B$2=0,"",UC_DADOS!$B$2)</f>
        <v>#N/A</v>
      </c>
      <c r="B31" s="113"/>
      <c r="C31" s="65"/>
      <c r="D31" s="68"/>
      <c r="E31" s="68"/>
      <c r="F31" s="68"/>
      <c r="G31" s="68"/>
      <c r="H31" s="68"/>
      <c r="I31" s="314">
        <f t="shared" si="0"/>
        <v>0</v>
      </c>
      <c r="J31" s="68"/>
      <c r="K31" s="65"/>
      <c r="L31" s="68"/>
      <c r="M31" s="68"/>
      <c r="N31" s="68"/>
      <c r="O31" s="68"/>
      <c r="P31" s="118"/>
      <c r="Q31" s="68"/>
      <c r="R31" s="68"/>
      <c r="S31" s="68"/>
      <c r="T31" s="68"/>
      <c r="U31" s="68"/>
      <c r="V31" s="68"/>
      <c r="W31" s="68"/>
      <c r="X31" s="68"/>
      <c r="Y31" s="68"/>
      <c r="Z31" s="114"/>
      <c r="AA31" s="65"/>
      <c r="AB31" s="68"/>
      <c r="AC31" s="68"/>
      <c r="AD31" s="69"/>
      <c r="AE31" s="71"/>
      <c r="AF31" s="114"/>
    </row>
    <row r="32" spans="1:32" s="64" customFormat="1" ht="15" customHeight="1" x14ac:dyDescent="0.25">
      <c r="A32" s="108" t="e">
        <f>IF(UC_DADOS!$B$2=0,"",UC_DADOS!$B$2)</f>
        <v>#N/A</v>
      </c>
      <c r="B32" s="113"/>
      <c r="C32" s="65"/>
      <c r="D32" s="68"/>
      <c r="E32" s="68"/>
      <c r="F32" s="68"/>
      <c r="G32" s="68"/>
      <c r="H32" s="68"/>
      <c r="I32" s="314">
        <f t="shared" si="0"/>
        <v>0</v>
      </c>
      <c r="J32" s="68"/>
      <c r="K32" s="65"/>
      <c r="L32" s="68"/>
      <c r="M32" s="68"/>
      <c r="N32" s="68"/>
      <c r="O32" s="68"/>
      <c r="P32" s="118"/>
      <c r="Q32" s="68"/>
      <c r="R32" s="68"/>
      <c r="S32" s="68"/>
      <c r="T32" s="68"/>
      <c r="U32" s="68"/>
      <c r="V32" s="68"/>
      <c r="W32" s="68"/>
      <c r="X32" s="68"/>
      <c r="Y32" s="68"/>
      <c r="Z32" s="114"/>
      <c r="AA32" s="65"/>
      <c r="AB32" s="68"/>
      <c r="AC32" s="68"/>
      <c r="AD32" s="69"/>
      <c r="AE32" s="71"/>
      <c r="AF32" s="114"/>
    </row>
    <row r="33" spans="1:32" s="64" customFormat="1" ht="15" customHeight="1" x14ac:dyDescent="0.25">
      <c r="A33" s="108" t="e">
        <f>IF(UC_DADOS!$B$2=0,"",UC_DADOS!$B$2)</f>
        <v>#N/A</v>
      </c>
      <c r="B33" s="113"/>
      <c r="C33" s="65"/>
      <c r="D33" s="68"/>
      <c r="E33" s="68"/>
      <c r="F33" s="68"/>
      <c r="G33" s="68"/>
      <c r="H33" s="68"/>
      <c r="I33" s="314">
        <f t="shared" si="0"/>
        <v>0</v>
      </c>
      <c r="J33" s="68"/>
      <c r="K33" s="65"/>
      <c r="L33" s="68"/>
      <c r="M33" s="68"/>
      <c r="N33" s="68"/>
      <c r="O33" s="68"/>
      <c r="P33" s="118"/>
      <c r="Q33" s="68"/>
      <c r="R33" s="68"/>
      <c r="S33" s="68"/>
      <c r="T33" s="68"/>
      <c r="U33" s="68"/>
      <c r="V33" s="68"/>
      <c r="W33" s="68"/>
      <c r="X33" s="68"/>
      <c r="Y33" s="68"/>
      <c r="Z33" s="114"/>
      <c r="AA33" s="65"/>
      <c r="AB33" s="68"/>
      <c r="AC33" s="68"/>
      <c r="AD33" s="69"/>
      <c r="AE33" s="71"/>
      <c r="AF33" s="114"/>
    </row>
    <row r="34" spans="1:32" s="64" customFormat="1" ht="15" customHeight="1" x14ac:dyDescent="0.25">
      <c r="A34" s="108" t="e">
        <f>IF(UC_DADOS!$B$2=0,"",UC_DADOS!$B$2)</f>
        <v>#N/A</v>
      </c>
      <c r="B34" s="113"/>
      <c r="C34" s="65"/>
      <c r="D34" s="68"/>
      <c r="E34" s="68"/>
      <c r="F34" s="68"/>
      <c r="G34" s="68"/>
      <c r="H34" s="68"/>
      <c r="I34" s="314">
        <f t="shared" si="0"/>
        <v>0</v>
      </c>
      <c r="J34" s="68"/>
      <c r="K34" s="65"/>
      <c r="L34" s="68"/>
      <c r="M34" s="68"/>
      <c r="N34" s="68"/>
      <c r="O34" s="68"/>
      <c r="P34" s="118"/>
      <c r="Q34" s="68"/>
      <c r="R34" s="68"/>
      <c r="S34" s="68"/>
      <c r="T34" s="68"/>
      <c r="U34" s="68"/>
      <c r="V34" s="68"/>
      <c r="W34" s="68"/>
      <c r="X34" s="68"/>
      <c r="Y34" s="68"/>
      <c r="Z34" s="114"/>
      <c r="AA34" s="65"/>
      <c r="AB34" s="68"/>
      <c r="AC34" s="68"/>
      <c r="AD34" s="69"/>
      <c r="AE34" s="71"/>
      <c r="AF34" s="114"/>
    </row>
    <row r="35" spans="1:32" s="64" customFormat="1" ht="15" customHeight="1" x14ac:dyDescent="0.25">
      <c r="A35" s="108" t="e">
        <f>IF(UC_DADOS!$B$2=0,"",UC_DADOS!$B$2)</f>
        <v>#N/A</v>
      </c>
      <c r="B35" s="113"/>
      <c r="C35" s="65"/>
      <c r="D35" s="68"/>
      <c r="E35" s="68"/>
      <c r="F35" s="68"/>
      <c r="G35" s="68"/>
      <c r="H35" s="68"/>
      <c r="I35" s="314">
        <f t="shared" si="0"/>
        <v>0</v>
      </c>
      <c r="J35" s="68"/>
      <c r="K35" s="65"/>
      <c r="L35" s="68"/>
      <c r="M35" s="68"/>
      <c r="N35" s="68"/>
      <c r="O35" s="68"/>
      <c r="P35" s="118"/>
      <c r="Q35" s="68"/>
      <c r="R35" s="68"/>
      <c r="S35" s="68"/>
      <c r="T35" s="68"/>
      <c r="U35" s="68"/>
      <c r="V35" s="68"/>
      <c r="W35" s="68"/>
      <c r="X35" s="68"/>
      <c r="Y35" s="68"/>
      <c r="Z35" s="114"/>
      <c r="AA35" s="65"/>
      <c r="AB35" s="68"/>
      <c r="AC35" s="68"/>
      <c r="AD35" s="69"/>
      <c r="AE35" s="71"/>
      <c r="AF35" s="114"/>
    </row>
    <row r="36" spans="1:32" s="64" customFormat="1" ht="15" customHeight="1" x14ac:dyDescent="0.25">
      <c r="A36" s="108" t="e">
        <f>IF(UC_DADOS!$B$2=0,"",UC_DADOS!$B$2)</f>
        <v>#N/A</v>
      </c>
      <c r="B36" s="113"/>
      <c r="C36" s="65"/>
      <c r="D36" s="68"/>
      <c r="E36" s="68"/>
      <c r="F36" s="68"/>
      <c r="G36" s="68"/>
      <c r="H36" s="68"/>
      <c r="I36" s="314">
        <f t="shared" si="0"/>
        <v>0</v>
      </c>
      <c r="J36" s="68"/>
      <c r="K36" s="65"/>
      <c r="L36" s="68"/>
      <c r="M36" s="68"/>
      <c r="N36" s="68"/>
      <c r="O36" s="68"/>
      <c r="P36" s="118"/>
      <c r="Q36" s="68"/>
      <c r="R36" s="68"/>
      <c r="S36" s="68"/>
      <c r="T36" s="68"/>
      <c r="U36" s="68"/>
      <c r="V36" s="68"/>
      <c r="W36" s="68"/>
      <c r="X36" s="68"/>
      <c r="Y36" s="68"/>
      <c r="Z36" s="114"/>
      <c r="AA36" s="65"/>
      <c r="AB36" s="68"/>
      <c r="AC36" s="68"/>
      <c r="AD36" s="69"/>
      <c r="AE36" s="71"/>
      <c r="AF36" s="114"/>
    </row>
    <row r="37" spans="1:32" s="64" customFormat="1" ht="15" customHeight="1" x14ac:dyDescent="0.25">
      <c r="A37" s="108" t="e">
        <f>IF(UC_DADOS!$B$2=0,"",UC_DADOS!$B$2)</f>
        <v>#N/A</v>
      </c>
      <c r="B37" s="113"/>
      <c r="C37" s="65"/>
      <c r="D37" s="68"/>
      <c r="E37" s="68"/>
      <c r="F37" s="68"/>
      <c r="G37" s="68"/>
      <c r="H37" s="68"/>
      <c r="I37" s="314">
        <f t="shared" si="0"/>
        <v>0</v>
      </c>
      <c r="J37" s="68"/>
      <c r="K37" s="65"/>
      <c r="L37" s="68"/>
      <c r="M37" s="68"/>
      <c r="N37" s="68"/>
      <c r="O37" s="68"/>
      <c r="P37" s="118"/>
      <c r="Q37" s="68"/>
      <c r="R37" s="68"/>
      <c r="S37" s="68"/>
      <c r="T37" s="68"/>
      <c r="U37" s="68"/>
      <c r="V37" s="68"/>
      <c r="W37" s="68"/>
      <c r="X37" s="68"/>
      <c r="Y37" s="68"/>
      <c r="Z37" s="114"/>
      <c r="AA37" s="65"/>
      <c r="AB37" s="68"/>
      <c r="AC37" s="68"/>
      <c r="AD37" s="69"/>
      <c r="AE37" s="71"/>
      <c r="AF37" s="114"/>
    </row>
    <row r="38" spans="1:32" s="64" customFormat="1" ht="15" customHeight="1" x14ac:dyDescent="0.25">
      <c r="A38" s="108" t="e">
        <f>IF(UC_DADOS!$B$2=0,"",UC_DADOS!$B$2)</f>
        <v>#N/A</v>
      </c>
      <c r="B38" s="113"/>
      <c r="C38" s="65"/>
      <c r="D38" s="68"/>
      <c r="E38" s="68"/>
      <c r="F38" s="68"/>
      <c r="G38" s="68"/>
      <c r="H38" s="68"/>
      <c r="I38" s="314">
        <f t="shared" si="0"/>
        <v>0</v>
      </c>
      <c r="J38" s="68"/>
      <c r="K38" s="65"/>
      <c r="L38" s="68"/>
      <c r="M38" s="68"/>
      <c r="N38" s="68"/>
      <c r="O38" s="68"/>
      <c r="P38" s="118"/>
      <c r="Q38" s="68"/>
      <c r="R38" s="68"/>
      <c r="S38" s="68"/>
      <c r="T38" s="68"/>
      <c r="U38" s="68"/>
      <c r="V38" s="68"/>
      <c r="W38" s="68"/>
      <c r="X38" s="68"/>
      <c r="Y38" s="68"/>
      <c r="Z38" s="114"/>
      <c r="AA38" s="65"/>
      <c r="AB38" s="68"/>
      <c r="AC38" s="68"/>
      <c r="AD38" s="69"/>
      <c r="AE38" s="71"/>
      <c r="AF38" s="114"/>
    </row>
    <row r="39" spans="1:32" s="64" customFormat="1" ht="15" customHeight="1" x14ac:dyDescent="0.25">
      <c r="A39" s="108" t="e">
        <f>IF(UC_DADOS!$B$2=0,"",UC_DADOS!$B$2)</f>
        <v>#N/A</v>
      </c>
      <c r="B39" s="113"/>
      <c r="C39" s="65"/>
      <c r="D39" s="68"/>
      <c r="E39" s="68"/>
      <c r="F39" s="68"/>
      <c r="G39" s="68"/>
      <c r="H39" s="68"/>
      <c r="I39" s="314">
        <f t="shared" si="0"/>
        <v>0</v>
      </c>
      <c r="J39" s="68"/>
      <c r="K39" s="65"/>
      <c r="L39" s="68"/>
      <c r="M39" s="68"/>
      <c r="N39" s="68"/>
      <c r="O39" s="68"/>
      <c r="P39" s="118"/>
      <c r="Q39" s="68"/>
      <c r="R39" s="68"/>
      <c r="S39" s="68"/>
      <c r="T39" s="68"/>
      <c r="U39" s="68"/>
      <c r="V39" s="68"/>
      <c r="W39" s="68"/>
      <c r="X39" s="68"/>
      <c r="Y39" s="68"/>
      <c r="Z39" s="114"/>
      <c r="AA39" s="65"/>
      <c r="AB39" s="68"/>
      <c r="AC39" s="68"/>
      <c r="AD39" s="69"/>
      <c r="AE39" s="71"/>
      <c r="AF39" s="114"/>
    </row>
    <row r="40" spans="1:32" s="64" customFormat="1" ht="15" customHeight="1" x14ac:dyDescent="0.25">
      <c r="A40" s="108" t="e">
        <f>IF(UC_DADOS!$B$2=0,"",UC_DADOS!$B$2)</f>
        <v>#N/A</v>
      </c>
      <c r="B40" s="113"/>
      <c r="C40" s="65"/>
      <c r="D40" s="68"/>
      <c r="E40" s="68"/>
      <c r="F40" s="68"/>
      <c r="G40" s="68"/>
      <c r="H40" s="68"/>
      <c r="I40" s="314">
        <f t="shared" si="0"/>
        <v>0</v>
      </c>
      <c r="J40" s="68"/>
      <c r="K40" s="65"/>
      <c r="L40" s="68"/>
      <c r="M40" s="68"/>
      <c r="N40" s="68"/>
      <c r="O40" s="68"/>
      <c r="P40" s="118"/>
      <c r="Q40" s="68"/>
      <c r="R40" s="68"/>
      <c r="S40" s="68"/>
      <c r="T40" s="68"/>
      <c r="U40" s="68"/>
      <c r="V40" s="68"/>
      <c r="W40" s="68"/>
      <c r="X40" s="68"/>
      <c r="Y40" s="68"/>
      <c r="Z40" s="114"/>
      <c r="AA40" s="65"/>
      <c r="AB40" s="68"/>
      <c r="AC40" s="68"/>
      <c r="AD40" s="69"/>
      <c r="AE40" s="71"/>
      <c r="AF40" s="114"/>
    </row>
    <row r="41" spans="1:32" s="64" customFormat="1" ht="15" customHeight="1" x14ac:dyDescent="0.25">
      <c r="A41" s="108" t="e">
        <f>IF(UC_DADOS!$B$2=0,"",UC_DADOS!$B$2)</f>
        <v>#N/A</v>
      </c>
      <c r="B41" s="113"/>
      <c r="C41" s="65"/>
      <c r="D41" s="68"/>
      <c r="E41" s="68"/>
      <c r="F41" s="68"/>
      <c r="G41" s="68"/>
      <c r="H41" s="68"/>
      <c r="I41" s="314">
        <f t="shared" si="0"/>
        <v>0</v>
      </c>
      <c r="J41" s="68"/>
      <c r="K41" s="65"/>
      <c r="L41" s="68"/>
      <c r="M41" s="68"/>
      <c r="N41" s="68"/>
      <c r="O41" s="68"/>
      <c r="P41" s="118"/>
      <c r="Q41" s="68"/>
      <c r="R41" s="68"/>
      <c r="S41" s="68"/>
      <c r="T41" s="68"/>
      <c r="U41" s="68"/>
      <c r="V41" s="68"/>
      <c r="W41" s="68"/>
      <c r="X41" s="68"/>
      <c r="Y41" s="68"/>
      <c r="Z41" s="114"/>
      <c r="AA41" s="65"/>
      <c r="AB41" s="68"/>
      <c r="AC41" s="68"/>
      <c r="AD41" s="69"/>
      <c r="AE41" s="71"/>
      <c r="AF41" s="114"/>
    </row>
    <row r="42" spans="1:32" s="64" customFormat="1" ht="15" customHeight="1" x14ac:dyDescent="0.25">
      <c r="A42" s="108" t="e">
        <f>IF(UC_DADOS!$B$2=0,"",UC_DADOS!$B$2)</f>
        <v>#N/A</v>
      </c>
      <c r="B42" s="113"/>
      <c r="C42" s="65"/>
      <c r="D42" s="68"/>
      <c r="E42" s="68"/>
      <c r="F42" s="68"/>
      <c r="G42" s="68"/>
      <c r="H42" s="68"/>
      <c r="I42" s="314">
        <f t="shared" si="0"/>
        <v>0</v>
      </c>
      <c r="J42" s="68"/>
      <c r="K42" s="65"/>
      <c r="L42" s="68"/>
      <c r="M42" s="68"/>
      <c r="N42" s="68"/>
      <c r="O42" s="68"/>
      <c r="P42" s="118"/>
      <c r="Q42" s="68"/>
      <c r="R42" s="68"/>
      <c r="S42" s="68"/>
      <c r="T42" s="68"/>
      <c r="U42" s="68"/>
      <c r="V42" s="68"/>
      <c r="W42" s="68"/>
      <c r="X42" s="68"/>
      <c r="Y42" s="68"/>
      <c r="Z42" s="114"/>
      <c r="AA42" s="65"/>
      <c r="AB42" s="68"/>
      <c r="AC42" s="68"/>
      <c r="AD42" s="69"/>
      <c r="AE42" s="71"/>
      <c r="AF42" s="114"/>
    </row>
    <row r="43" spans="1:32" s="64" customFormat="1" ht="15" customHeight="1" x14ac:dyDescent="0.25">
      <c r="A43" s="108" t="e">
        <f>IF(UC_DADOS!$B$2=0,"",UC_DADOS!$B$2)</f>
        <v>#N/A</v>
      </c>
      <c r="B43" s="113"/>
      <c r="C43" s="65"/>
      <c r="D43" s="68"/>
      <c r="E43" s="68"/>
      <c r="F43" s="68"/>
      <c r="G43" s="68"/>
      <c r="H43" s="68"/>
      <c r="I43" s="314">
        <f t="shared" si="0"/>
        <v>0</v>
      </c>
      <c r="J43" s="68"/>
      <c r="K43" s="65"/>
      <c r="L43" s="68"/>
      <c r="M43" s="68"/>
      <c r="N43" s="68"/>
      <c r="O43" s="68"/>
      <c r="P43" s="118"/>
      <c r="Q43" s="68"/>
      <c r="R43" s="68"/>
      <c r="S43" s="68"/>
      <c r="T43" s="68"/>
      <c r="U43" s="68"/>
      <c r="V43" s="68"/>
      <c r="W43" s="68"/>
      <c r="X43" s="68"/>
      <c r="Y43" s="68"/>
      <c r="Z43" s="114"/>
      <c r="AA43" s="65"/>
      <c r="AB43" s="68"/>
      <c r="AC43" s="68"/>
      <c r="AD43" s="69"/>
      <c r="AE43" s="71"/>
      <c r="AF43" s="114"/>
    </row>
    <row r="44" spans="1:32" s="64" customFormat="1" ht="15" customHeight="1" x14ac:dyDescent="0.25">
      <c r="A44" s="108" t="e">
        <f>IF(UC_DADOS!$B$2=0,"",UC_DADOS!$B$2)</f>
        <v>#N/A</v>
      </c>
      <c r="B44" s="113"/>
      <c r="C44" s="65"/>
      <c r="D44" s="68"/>
      <c r="E44" s="68"/>
      <c r="F44" s="68"/>
      <c r="G44" s="68"/>
      <c r="H44" s="68"/>
      <c r="I44" s="314">
        <f t="shared" si="0"/>
        <v>0</v>
      </c>
      <c r="J44" s="68"/>
      <c r="K44" s="65"/>
      <c r="L44" s="68"/>
      <c r="M44" s="68"/>
      <c r="N44" s="68"/>
      <c r="O44" s="68"/>
      <c r="P44" s="118"/>
      <c r="Q44" s="68"/>
      <c r="R44" s="68"/>
      <c r="S44" s="68"/>
      <c r="T44" s="68"/>
      <c r="U44" s="68"/>
      <c r="V44" s="68"/>
      <c r="W44" s="68"/>
      <c r="X44" s="68"/>
      <c r="Y44" s="68"/>
      <c r="Z44" s="114"/>
      <c r="AA44" s="65"/>
      <c r="AB44" s="68"/>
      <c r="AC44" s="68"/>
      <c r="AD44" s="69"/>
      <c r="AE44" s="71"/>
      <c r="AF44" s="114"/>
    </row>
    <row r="45" spans="1:32" s="64" customFormat="1" ht="15" customHeight="1" x14ac:dyDescent="0.25">
      <c r="A45" s="108" t="e">
        <f>IF(UC_DADOS!$B$2=0,"",UC_DADOS!$B$2)</f>
        <v>#N/A</v>
      </c>
      <c r="B45" s="113"/>
      <c r="C45" s="65"/>
      <c r="D45" s="68"/>
      <c r="E45" s="68"/>
      <c r="F45" s="68"/>
      <c r="G45" s="68"/>
      <c r="H45" s="68"/>
      <c r="I45" s="314">
        <f t="shared" si="0"/>
        <v>0</v>
      </c>
      <c r="J45" s="68"/>
      <c r="K45" s="65"/>
      <c r="L45" s="68"/>
      <c r="M45" s="68"/>
      <c r="N45" s="68"/>
      <c r="O45" s="68"/>
      <c r="P45" s="118"/>
      <c r="Q45" s="68"/>
      <c r="R45" s="68"/>
      <c r="S45" s="68"/>
      <c r="T45" s="68"/>
      <c r="U45" s="68"/>
      <c r="V45" s="68"/>
      <c r="W45" s="68"/>
      <c r="X45" s="68"/>
      <c r="Y45" s="68"/>
      <c r="Z45" s="114"/>
      <c r="AA45" s="65"/>
      <c r="AB45" s="68"/>
      <c r="AC45" s="68"/>
      <c r="AD45" s="69"/>
      <c r="AE45" s="71"/>
      <c r="AF45" s="114"/>
    </row>
    <row r="46" spans="1:32" s="64" customFormat="1" ht="15" customHeight="1" x14ac:dyDescent="0.25">
      <c r="A46" s="108" t="e">
        <f>IF(UC_DADOS!$B$2=0,"",UC_DADOS!$B$2)</f>
        <v>#N/A</v>
      </c>
      <c r="B46" s="113"/>
      <c r="C46" s="65"/>
      <c r="D46" s="68"/>
      <c r="E46" s="68"/>
      <c r="F46" s="68"/>
      <c r="G46" s="68"/>
      <c r="H46" s="68"/>
      <c r="I46" s="314">
        <f t="shared" si="0"/>
        <v>0</v>
      </c>
      <c r="J46" s="68"/>
      <c r="K46" s="65"/>
      <c r="L46" s="68"/>
      <c r="M46" s="68"/>
      <c r="N46" s="68"/>
      <c r="O46" s="68"/>
      <c r="P46" s="118"/>
      <c r="Q46" s="68"/>
      <c r="R46" s="68"/>
      <c r="S46" s="68"/>
      <c r="T46" s="68"/>
      <c r="U46" s="68"/>
      <c r="V46" s="68"/>
      <c r="W46" s="68"/>
      <c r="X46" s="68"/>
      <c r="Y46" s="68"/>
      <c r="Z46" s="114"/>
      <c r="AA46" s="65"/>
      <c r="AB46" s="68"/>
      <c r="AC46" s="68"/>
      <c r="AD46" s="69"/>
      <c r="AE46" s="71"/>
      <c r="AF46" s="114"/>
    </row>
    <row r="47" spans="1:32" s="64" customFormat="1" ht="15" customHeight="1" x14ac:dyDescent="0.25">
      <c r="A47" s="108" t="e">
        <f>IF(UC_DADOS!$B$2=0,"",UC_DADOS!$B$2)</f>
        <v>#N/A</v>
      </c>
      <c r="B47" s="113"/>
      <c r="C47" s="65"/>
      <c r="D47" s="68"/>
      <c r="E47" s="68"/>
      <c r="F47" s="68"/>
      <c r="G47" s="68"/>
      <c r="H47" s="68"/>
      <c r="I47" s="314">
        <f t="shared" si="0"/>
        <v>0</v>
      </c>
      <c r="J47" s="68"/>
      <c r="K47" s="65"/>
      <c r="L47" s="68"/>
      <c r="M47" s="68"/>
      <c r="N47" s="68"/>
      <c r="O47" s="68"/>
      <c r="P47" s="118"/>
      <c r="Q47" s="68"/>
      <c r="R47" s="68"/>
      <c r="S47" s="68"/>
      <c r="T47" s="68"/>
      <c r="U47" s="68"/>
      <c r="V47" s="68"/>
      <c r="W47" s="68"/>
      <c r="X47" s="68"/>
      <c r="Y47" s="68"/>
      <c r="Z47" s="114"/>
      <c r="AA47" s="65"/>
      <c r="AB47" s="68"/>
      <c r="AC47" s="68"/>
      <c r="AD47" s="69"/>
      <c r="AE47" s="71"/>
      <c r="AF47" s="114"/>
    </row>
    <row r="48" spans="1:32" s="64" customFormat="1" ht="15" customHeight="1" x14ac:dyDescent="0.25">
      <c r="A48" s="108" t="e">
        <f>IF(UC_DADOS!$B$2=0,"",UC_DADOS!$B$2)</f>
        <v>#N/A</v>
      </c>
      <c r="B48" s="113"/>
      <c r="C48" s="65"/>
      <c r="D48" s="68"/>
      <c r="E48" s="68"/>
      <c r="F48" s="68"/>
      <c r="G48" s="68"/>
      <c r="H48" s="68"/>
      <c r="I48" s="314">
        <f t="shared" si="0"/>
        <v>0</v>
      </c>
      <c r="J48" s="68"/>
      <c r="K48" s="65"/>
      <c r="L48" s="68"/>
      <c r="M48" s="68"/>
      <c r="N48" s="68"/>
      <c r="O48" s="68"/>
      <c r="P48" s="118"/>
      <c r="Q48" s="68"/>
      <c r="R48" s="68"/>
      <c r="S48" s="68"/>
      <c r="T48" s="68"/>
      <c r="U48" s="68"/>
      <c r="V48" s="68"/>
      <c r="W48" s="68"/>
      <c r="X48" s="68"/>
      <c r="Y48" s="68"/>
      <c r="Z48" s="114"/>
      <c r="AA48" s="65"/>
      <c r="AB48" s="68"/>
      <c r="AC48" s="68"/>
      <c r="AD48" s="69"/>
      <c r="AE48" s="71"/>
      <c r="AF48" s="114"/>
    </row>
    <row r="49" spans="1:32" s="64" customFormat="1" ht="15" customHeight="1" x14ac:dyDescent="0.25">
      <c r="A49" s="108" t="e">
        <f>IF(UC_DADOS!$B$2=0,"",UC_DADOS!$B$2)</f>
        <v>#N/A</v>
      </c>
      <c r="B49" s="113"/>
      <c r="C49" s="65"/>
      <c r="D49" s="68"/>
      <c r="E49" s="68"/>
      <c r="F49" s="68"/>
      <c r="G49" s="68"/>
      <c r="H49" s="68"/>
      <c r="I49" s="314">
        <f t="shared" si="0"/>
        <v>0</v>
      </c>
      <c r="J49" s="68"/>
      <c r="K49" s="65"/>
      <c r="L49" s="68"/>
      <c r="M49" s="68"/>
      <c r="N49" s="68"/>
      <c r="O49" s="68"/>
      <c r="P49" s="118"/>
      <c r="Q49" s="68"/>
      <c r="R49" s="68"/>
      <c r="S49" s="68"/>
      <c r="T49" s="68"/>
      <c r="U49" s="68"/>
      <c r="V49" s="68"/>
      <c r="W49" s="68"/>
      <c r="X49" s="68"/>
      <c r="Y49" s="68"/>
      <c r="Z49" s="114"/>
      <c r="AA49" s="65"/>
      <c r="AB49" s="68"/>
      <c r="AC49" s="68"/>
      <c r="AD49" s="69"/>
      <c r="AE49" s="71"/>
      <c r="AF49" s="114"/>
    </row>
    <row r="50" spans="1:32" s="64" customFormat="1" ht="15" customHeight="1" x14ac:dyDescent="0.25">
      <c r="A50" s="108" t="e">
        <f>IF(UC_DADOS!$B$2=0,"",UC_DADOS!$B$2)</f>
        <v>#N/A</v>
      </c>
      <c r="B50" s="113"/>
      <c r="C50" s="65"/>
      <c r="D50" s="68"/>
      <c r="E50" s="68"/>
      <c r="F50" s="68"/>
      <c r="G50" s="68"/>
      <c r="H50" s="68"/>
      <c r="I50" s="314">
        <f t="shared" si="0"/>
        <v>0</v>
      </c>
      <c r="J50" s="68"/>
      <c r="K50" s="65"/>
      <c r="L50" s="68"/>
      <c r="M50" s="68"/>
      <c r="N50" s="68"/>
      <c r="O50" s="68"/>
      <c r="P50" s="118"/>
      <c r="Q50" s="68"/>
      <c r="R50" s="68"/>
      <c r="S50" s="68"/>
      <c r="T50" s="68"/>
      <c r="U50" s="68"/>
      <c r="V50" s="68"/>
      <c r="W50" s="68"/>
      <c r="X50" s="68"/>
      <c r="Y50" s="68"/>
      <c r="Z50" s="114"/>
      <c r="AA50" s="65"/>
      <c r="AB50" s="68"/>
      <c r="AC50" s="68"/>
      <c r="AD50" s="69"/>
      <c r="AE50" s="71"/>
      <c r="AF50" s="114"/>
    </row>
    <row r="51" spans="1:32" s="64" customFormat="1" ht="15" customHeight="1" x14ac:dyDescent="0.25">
      <c r="A51" s="108" t="e">
        <f>IF(UC_DADOS!$B$2=0,"",UC_DADOS!$B$2)</f>
        <v>#N/A</v>
      </c>
      <c r="B51" s="113"/>
      <c r="C51" s="65"/>
      <c r="D51" s="68"/>
      <c r="E51" s="68"/>
      <c r="F51" s="68"/>
      <c r="G51" s="68"/>
      <c r="H51" s="68"/>
      <c r="I51" s="314">
        <f t="shared" si="0"/>
        <v>0</v>
      </c>
      <c r="J51" s="68"/>
      <c r="K51" s="65"/>
      <c r="L51" s="68"/>
      <c r="M51" s="68"/>
      <c r="N51" s="68"/>
      <c r="O51" s="68"/>
      <c r="P51" s="118"/>
      <c r="Q51" s="68"/>
      <c r="R51" s="68"/>
      <c r="S51" s="68"/>
      <c r="T51" s="68"/>
      <c r="U51" s="68"/>
      <c r="V51" s="68"/>
      <c r="W51" s="68"/>
      <c r="X51" s="68"/>
      <c r="Y51" s="68"/>
      <c r="Z51" s="114"/>
      <c r="AA51" s="65"/>
      <c r="AB51" s="68"/>
      <c r="AC51" s="68"/>
      <c r="AD51" s="69"/>
      <c r="AE51" s="71"/>
      <c r="AF51" s="114"/>
    </row>
    <row r="52" spans="1:32" s="64" customFormat="1" ht="15" customHeight="1" x14ac:dyDescent="0.25">
      <c r="A52" s="108" t="e">
        <f>IF(UC_DADOS!$B$2=0,"",UC_DADOS!$B$2)</f>
        <v>#N/A</v>
      </c>
      <c r="B52" s="113"/>
      <c r="C52" s="65"/>
      <c r="D52" s="68"/>
      <c r="E52" s="68"/>
      <c r="F52" s="68"/>
      <c r="G52" s="68"/>
      <c r="H52" s="68"/>
      <c r="I52" s="314">
        <f t="shared" si="0"/>
        <v>0</v>
      </c>
      <c r="J52" s="68"/>
      <c r="K52" s="65"/>
      <c r="L52" s="68"/>
      <c r="M52" s="68"/>
      <c r="N52" s="68"/>
      <c r="O52" s="68"/>
      <c r="P52" s="118"/>
      <c r="Q52" s="68"/>
      <c r="R52" s="68"/>
      <c r="S52" s="68"/>
      <c r="T52" s="68"/>
      <c r="U52" s="68"/>
      <c r="V52" s="68"/>
      <c r="W52" s="68"/>
      <c r="X52" s="68"/>
      <c r="Y52" s="68"/>
      <c r="Z52" s="114"/>
      <c r="AA52" s="65"/>
      <c r="AB52" s="68"/>
      <c r="AC52" s="68"/>
      <c r="AD52" s="69"/>
      <c r="AE52" s="71"/>
      <c r="AF52" s="114"/>
    </row>
    <row r="53" spans="1:32" s="64" customFormat="1" ht="15" customHeight="1" x14ac:dyDescent="0.25">
      <c r="A53" s="108" t="e">
        <f>IF(UC_DADOS!$B$2=0,"",UC_DADOS!$B$2)</f>
        <v>#N/A</v>
      </c>
      <c r="B53" s="113"/>
      <c r="C53" s="65"/>
      <c r="D53" s="68"/>
      <c r="E53" s="68"/>
      <c r="F53" s="68"/>
      <c r="G53" s="68"/>
      <c r="H53" s="68"/>
      <c r="I53" s="314">
        <f t="shared" si="0"/>
        <v>0</v>
      </c>
      <c r="J53" s="68"/>
      <c r="K53" s="65"/>
      <c r="L53" s="68"/>
      <c r="M53" s="68"/>
      <c r="N53" s="68"/>
      <c r="O53" s="68"/>
      <c r="P53" s="118"/>
      <c r="Q53" s="68"/>
      <c r="R53" s="68"/>
      <c r="S53" s="68"/>
      <c r="T53" s="68"/>
      <c r="U53" s="68"/>
      <c r="V53" s="68"/>
      <c r="W53" s="68"/>
      <c r="X53" s="68"/>
      <c r="Y53" s="68"/>
      <c r="Z53" s="114"/>
      <c r="AA53" s="65"/>
      <c r="AB53" s="68"/>
      <c r="AC53" s="68"/>
      <c r="AD53" s="69"/>
      <c r="AE53" s="71"/>
      <c r="AF53" s="114"/>
    </row>
    <row r="54" spans="1:32" s="64" customFormat="1" ht="15" customHeight="1" x14ac:dyDescent="0.25">
      <c r="A54" s="108" t="e">
        <f>IF(UC_DADOS!$B$2=0,"",UC_DADOS!$B$2)</f>
        <v>#N/A</v>
      </c>
      <c r="B54" s="113"/>
      <c r="C54" s="65"/>
      <c r="D54" s="68"/>
      <c r="E54" s="68"/>
      <c r="F54" s="68"/>
      <c r="G54" s="68"/>
      <c r="H54" s="68"/>
      <c r="I54" s="314">
        <f t="shared" si="0"/>
        <v>0</v>
      </c>
      <c r="J54" s="68"/>
      <c r="K54" s="65"/>
      <c r="L54" s="68"/>
      <c r="M54" s="68"/>
      <c r="N54" s="68"/>
      <c r="O54" s="68"/>
      <c r="P54" s="118"/>
      <c r="Q54" s="68"/>
      <c r="R54" s="68"/>
      <c r="S54" s="68"/>
      <c r="T54" s="68"/>
      <c r="U54" s="68"/>
      <c r="V54" s="68"/>
      <c r="W54" s="68"/>
      <c r="X54" s="68"/>
      <c r="Y54" s="68"/>
      <c r="Z54" s="114"/>
      <c r="AA54" s="65"/>
      <c r="AB54" s="68"/>
      <c r="AC54" s="68"/>
      <c r="AD54" s="69"/>
      <c r="AE54" s="71"/>
      <c r="AF54" s="114"/>
    </row>
    <row r="55" spans="1:32" s="64" customFormat="1" ht="15" customHeight="1" x14ac:dyDescent="0.25">
      <c r="A55" s="108" t="e">
        <f>IF(UC_DADOS!$B$2=0,"",UC_DADOS!$B$2)</f>
        <v>#N/A</v>
      </c>
      <c r="B55" s="113"/>
      <c r="C55" s="65"/>
      <c r="D55" s="68"/>
      <c r="E55" s="68"/>
      <c r="F55" s="68"/>
      <c r="G55" s="68"/>
      <c r="H55" s="68"/>
      <c r="I55" s="314">
        <f t="shared" si="0"/>
        <v>0</v>
      </c>
      <c r="J55" s="68"/>
      <c r="K55" s="65"/>
      <c r="L55" s="68"/>
      <c r="M55" s="68"/>
      <c r="N55" s="68"/>
      <c r="O55" s="68"/>
      <c r="P55" s="118"/>
      <c r="Q55" s="68"/>
      <c r="R55" s="68"/>
      <c r="S55" s="68"/>
      <c r="T55" s="68"/>
      <c r="U55" s="68"/>
      <c r="V55" s="68"/>
      <c r="W55" s="68"/>
      <c r="X55" s="68"/>
      <c r="Y55" s="68"/>
      <c r="Z55" s="114"/>
      <c r="AA55" s="65"/>
      <c r="AB55" s="68"/>
      <c r="AC55" s="68"/>
      <c r="AD55" s="69"/>
      <c r="AE55" s="71"/>
      <c r="AF55" s="114"/>
    </row>
    <row r="56" spans="1:32" s="64" customFormat="1" ht="15" customHeight="1" x14ac:dyDescent="0.25">
      <c r="A56" s="108" t="e">
        <f>IF(UC_DADOS!$B$2=0,"",UC_DADOS!$B$2)</f>
        <v>#N/A</v>
      </c>
      <c r="B56" s="113"/>
      <c r="C56" s="65"/>
      <c r="D56" s="68"/>
      <c r="E56" s="68"/>
      <c r="F56" s="68"/>
      <c r="G56" s="68"/>
      <c r="H56" s="68"/>
      <c r="I56" s="314">
        <f t="shared" si="0"/>
        <v>0</v>
      </c>
      <c r="J56" s="68"/>
      <c r="K56" s="65"/>
      <c r="L56" s="68"/>
      <c r="M56" s="68"/>
      <c r="N56" s="68"/>
      <c r="O56" s="68"/>
      <c r="P56" s="118"/>
      <c r="Q56" s="68"/>
      <c r="R56" s="68"/>
      <c r="S56" s="68"/>
      <c r="T56" s="68"/>
      <c r="U56" s="68"/>
      <c r="V56" s="68"/>
      <c r="W56" s="68"/>
      <c r="X56" s="68"/>
      <c r="Y56" s="68"/>
      <c r="Z56" s="114"/>
      <c r="AA56" s="65"/>
      <c r="AB56" s="68"/>
      <c r="AC56" s="68"/>
      <c r="AD56" s="69"/>
      <c r="AE56" s="71"/>
      <c r="AF56" s="114"/>
    </row>
    <row r="57" spans="1:32" s="64" customFormat="1" ht="15" customHeight="1" x14ac:dyDescent="0.25">
      <c r="A57" s="108" t="e">
        <f>IF(UC_DADOS!$B$2=0,"",UC_DADOS!$B$2)</f>
        <v>#N/A</v>
      </c>
      <c r="B57" s="113"/>
      <c r="C57" s="65"/>
      <c r="D57" s="68"/>
      <c r="E57" s="68"/>
      <c r="F57" s="68"/>
      <c r="G57" s="68"/>
      <c r="H57" s="68"/>
      <c r="I57" s="314">
        <f t="shared" si="0"/>
        <v>0</v>
      </c>
      <c r="J57" s="68"/>
      <c r="K57" s="65"/>
      <c r="L57" s="68"/>
      <c r="M57" s="68"/>
      <c r="N57" s="68"/>
      <c r="O57" s="68"/>
      <c r="P57" s="118"/>
      <c r="Q57" s="68"/>
      <c r="R57" s="68"/>
      <c r="S57" s="68"/>
      <c r="T57" s="68"/>
      <c r="U57" s="68"/>
      <c r="V57" s="68"/>
      <c r="W57" s="68"/>
      <c r="X57" s="68"/>
      <c r="Y57" s="68"/>
      <c r="Z57" s="114"/>
      <c r="AA57" s="65"/>
      <c r="AB57" s="68"/>
      <c r="AC57" s="68"/>
      <c r="AD57" s="69"/>
      <c r="AE57" s="71"/>
      <c r="AF57" s="114"/>
    </row>
    <row r="58" spans="1:32" s="64" customFormat="1" ht="15" customHeight="1" x14ac:dyDescent="0.25">
      <c r="A58" s="108" t="e">
        <f>IF(UC_DADOS!$B$2=0,"",UC_DADOS!$B$2)</f>
        <v>#N/A</v>
      </c>
      <c r="B58" s="113"/>
      <c r="C58" s="65"/>
      <c r="D58" s="68"/>
      <c r="E58" s="68"/>
      <c r="F58" s="68"/>
      <c r="G58" s="68"/>
      <c r="H58" s="68"/>
      <c r="I58" s="314">
        <f t="shared" si="0"/>
        <v>0</v>
      </c>
      <c r="J58" s="68"/>
      <c r="K58" s="65"/>
      <c r="L58" s="68"/>
      <c r="M58" s="68"/>
      <c r="N58" s="68"/>
      <c r="O58" s="68"/>
      <c r="P58" s="118"/>
      <c r="Q58" s="68"/>
      <c r="R58" s="68"/>
      <c r="S58" s="68"/>
      <c r="T58" s="68"/>
      <c r="U58" s="68"/>
      <c r="V58" s="68"/>
      <c r="W58" s="68"/>
      <c r="X58" s="68"/>
      <c r="Y58" s="68"/>
      <c r="Z58" s="114"/>
      <c r="AA58" s="65"/>
      <c r="AB58" s="68"/>
      <c r="AC58" s="68"/>
      <c r="AD58" s="69"/>
      <c r="AE58" s="71"/>
      <c r="AF58" s="114"/>
    </row>
    <row r="59" spans="1:32" s="64" customFormat="1" ht="15" customHeight="1" x14ac:dyDescent="0.25">
      <c r="A59" s="108" t="e">
        <f>IF(UC_DADOS!$B$2=0,"",UC_DADOS!$B$2)</f>
        <v>#N/A</v>
      </c>
      <c r="B59" s="113"/>
      <c r="C59" s="65"/>
      <c r="D59" s="68"/>
      <c r="E59" s="68"/>
      <c r="F59" s="68"/>
      <c r="G59" s="68"/>
      <c r="H59" s="68"/>
      <c r="I59" s="314">
        <f t="shared" si="0"/>
        <v>0</v>
      </c>
      <c r="J59" s="68"/>
      <c r="K59" s="65"/>
      <c r="L59" s="68"/>
      <c r="M59" s="68"/>
      <c r="N59" s="68"/>
      <c r="O59" s="68"/>
      <c r="P59" s="118"/>
      <c r="Q59" s="68"/>
      <c r="R59" s="68"/>
      <c r="S59" s="68"/>
      <c r="T59" s="68"/>
      <c r="U59" s="68"/>
      <c r="V59" s="68"/>
      <c r="W59" s="68"/>
      <c r="X59" s="68"/>
      <c r="Y59" s="68"/>
      <c r="Z59" s="114"/>
      <c r="AA59" s="65"/>
      <c r="AB59" s="68"/>
      <c r="AC59" s="68"/>
      <c r="AD59" s="69"/>
      <c r="AE59" s="71"/>
      <c r="AF59" s="114"/>
    </row>
    <row r="60" spans="1:32" s="64" customFormat="1" ht="15" customHeight="1" x14ac:dyDescent="0.25">
      <c r="A60" s="108" t="e">
        <f>IF(UC_DADOS!$B$2=0,"",UC_DADOS!$B$2)</f>
        <v>#N/A</v>
      </c>
      <c r="B60" s="113"/>
      <c r="C60" s="65"/>
      <c r="D60" s="68"/>
      <c r="E60" s="68"/>
      <c r="F60" s="68"/>
      <c r="G60" s="68"/>
      <c r="H60" s="68"/>
      <c r="I60" s="314">
        <f t="shared" si="0"/>
        <v>0</v>
      </c>
      <c r="J60" s="68"/>
      <c r="K60" s="65"/>
      <c r="L60" s="68"/>
      <c r="M60" s="68"/>
      <c r="N60" s="68"/>
      <c r="O60" s="68"/>
      <c r="P60" s="118"/>
      <c r="Q60" s="68"/>
      <c r="R60" s="68"/>
      <c r="S60" s="68"/>
      <c r="T60" s="68"/>
      <c r="U60" s="68"/>
      <c r="V60" s="68"/>
      <c r="W60" s="68"/>
      <c r="X60" s="68"/>
      <c r="Y60" s="68"/>
      <c r="Z60" s="114"/>
      <c r="AA60" s="65"/>
      <c r="AB60" s="68"/>
      <c r="AC60" s="68"/>
      <c r="AD60" s="69"/>
      <c r="AE60" s="71"/>
      <c r="AF60" s="114"/>
    </row>
    <row r="61" spans="1:32" s="64" customFormat="1" ht="15" customHeight="1" x14ac:dyDescent="0.25">
      <c r="A61" s="108" t="e">
        <f>IF(UC_DADOS!$B$2=0,"",UC_DADOS!$B$2)</f>
        <v>#N/A</v>
      </c>
      <c r="B61" s="113"/>
      <c r="C61" s="65"/>
      <c r="D61" s="68"/>
      <c r="E61" s="68"/>
      <c r="F61" s="68"/>
      <c r="G61" s="68"/>
      <c r="H61" s="68"/>
      <c r="I61" s="314">
        <f t="shared" si="0"/>
        <v>0</v>
      </c>
      <c r="J61" s="68"/>
      <c r="K61" s="65"/>
      <c r="L61" s="68"/>
      <c r="M61" s="68"/>
      <c r="N61" s="68"/>
      <c r="O61" s="68"/>
      <c r="P61" s="118"/>
      <c r="Q61" s="68"/>
      <c r="R61" s="68"/>
      <c r="S61" s="68"/>
      <c r="T61" s="68"/>
      <c r="U61" s="68"/>
      <c r="V61" s="68"/>
      <c r="W61" s="68"/>
      <c r="X61" s="68"/>
      <c r="Y61" s="68"/>
      <c r="Z61" s="114"/>
      <c r="AA61" s="65"/>
      <c r="AB61" s="68"/>
      <c r="AC61" s="68"/>
      <c r="AD61" s="69"/>
      <c r="AE61" s="71"/>
      <c r="AF61" s="114"/>
    </row>
    <row r="62" spans="1:32" s="64" customFormat="1" ht="15" customHeight="1" x14ac:dyDescent="0.25">
      <c r="A62" s="108" t="e">
        <f>IF(UC_DADOS!$B$2=0,"",UC_DADOS!$B$2)</f>
        <v>#N/A</v>
      </c>
      <c r="B62" s="113"/>
      <c r="C62" s="65"/>
      <c r="D62" s="68"/>
      <c r="E62" s="68"/>
      <c r="F62" s="68"/>
      <c r="G62" s="68"/>
      <c r="H62" s="68"/>
      <c r="I62" s="314">
        <f t="shared" si="0"/>
        <v>0</v>
      </c>
      <c r="J62" s="68"/>
      <c r="K62" s="65"/>
      <c r="L62" s="68"/>
      <c r="M62" s="68"/>
      <c r="N62" s="68"/>
      <c r="O62" s="68"/>
      <c r="P62" s="118"/>
      <c r="Q62" s="68"/>
      <c r="R62" s="68"/>
      <c r="S62" s="68"/>
      <c r="T62" s="68"/>
      <c r="U62" s="68"/>
      <c r="V62" s="68"/>
      <c r="W62" s="68"/>
      <c r="X62" s="68"/>
      <c r="Y62" s="68"/>
      <c r="Z62" s="114"/>
      <c r="AA62" s="65"/>
      <c r="AB62" s="68"/>
      <c r="AC62" s="68"/>
      <c r="AD62" s="69"/>
      <c r="AE62" s="71"/>
      <c r="AF62" s="114"/>
    </row>
    <row r="63" spans="1:32" s="64" customFormat="1" ht="15" customHeight="1" x14ac:dyDescent="0.25">
      <c r="A63" s="108" t="e">
        <f>IF(UC_DADOS!$B$2=0,"",UC_DADOS!$B$2)</f>
        <v>#N/A</v>
      </c>
      <c r="B63" s="113"/>
      <c r="C63" s="65"/>
      <c r="D63" s="68"/>
      <c r="E63" s="68"/>
      <c r="F63" s="68"/>
      <c r="G63" s="68"/>
      <c r="H63" s="68"/>
      <c r="I63" s="314">
        <f t="shared" si="0"/>
        <v>0</v>
      </c>
      <c r="J63" s="68"/>
      <c r="K63" s="65"/>
      <c r="L63" s="68"/>
      <c r="M63" s="68"/>
      <c r="N63" s="68"/>
      <c r="O63" s="68"/>
      <c r="P63" s="118"/>
      <c r="Q63" s="68"/>
      <c r="R63" s="68"/>
      <c r="S63" s="68"/>
      <c r="T63" s="68"/>
      <c r="U63" s="68"/>
      <c r="V63" s="68"/>
      <c r="W63" s="68"/>
      <c r="X63" s="68"/>
      <c r="Y63" s="68"/>
      <c r="Z63" s="114"/>
      <c r="AA63" s="65"/>
      <c r="AB63" s="68"/>
      <c r="AC63" s="68"/>
      <c r="AD63" s="69"/>
      <c r="AE63" s="71"/>
      <c r="AF63" s="114"/>
    </row>
    <row r="64" spans="1:32" s="64" customFormat="1" ht="15" customHeight="1" x14ac:dyDescent="0.25">
      <c r="A64" s="108" t="e">
        <f>IF(UC_DADOS!$B$2=0,"",UC_DADOS!$B$2)</f>
        <v>#N/A</v>
      </c>
      <c r="B64" s="113"/>
      <c r="C64" s="65"/>
      <c r="D64" s="68"/>
      <c r="E64" s="68"/>
      <c r="F64" s="68"/>
      <c r="G64" s="68"/>
      <c r="H64" s="68"/>
      <c r="I64" s="314">
        <f t="shared" si="0"/>
        <v>0</v>
      </c>
      <c r="J64" s="68"/>
      <c r="K64" s="65"/>
      <c r="L64" s="68"/>
      <c r="M64" s="68"/>
      <c r="N64" s="68"/>
      <c r="O64" s="68"/>
      <c r="P64" s="118"/>
      <c r="Q64" s="68"/>
      <c r="R64" s="68"/>
      <c r="S64" s="68"/>
      <c r="T64" s="68"/>
      <c r="U64" s="68"/>
      <c r="V64" s="68"/>
      <c r="W64" s="68"/>
      <c r="X64" s="68"/>
      <c r="Y64" s="68"/>
      <c r="Z64" s="114"/>
      <c r="AA64" s="65"/>
      <c r="AB64" s="68"/>
      <c r="AC64" s="68"/>
      <c r="AD64" s="69"/>
      <c r="AE64" s="71"/>
      <c r="AF64" s="114"/>
    </row>
    <row r="65" spans="1:32" s="64" customFormat="1" ht="15" customHeight="1" x14ac:dyDescent="0.25">
      <c r="A65" s="108" t="e">
        <f>IF(UC_DADOS!$B$2=0,"",UC_DADOS!$B$2)</f>
        <v>#N/A</v>
      </c>
      <c r="B65" s="113"/>
      <c r="C65" s="65"/>
      <c r="D65" s="68"/>
      <c r="E65" s="68"/>
      <c r="F65" s="68"/>
      <c r="G65" s="68"/>
      <c r="H65" s="68"/>
      <c r="I65" s="314">
        <f t="shared" si="0"/>
        <v>0</v>
      </c>
      <c r="J65" s="68"/>
      <c r="K65" s="65"/>
      <c r="L65" s="68"/>
      <c r="M65" s="68"/>
      <c r="N65" s="68"/>
      <c r="O65" s="68"/>
      <c r="P65" s="118"/>
      <c r="Q65" s="68"/>
      <c r="R65" s="68"/>
      <c r="S65" s="68"/>
      <c r="T65" s="68"/>
      <c r="U65" s="68"/>
      <c r="V65" s="68"/>
      <c r="W65" s="68"/>
      <c r="X65" s="68"/>
      <c r="Y65" s="68"/>
      <c r="Z65" s="114"/>
      <c r="AA65" s="65"/>
      <c r="AB65" s="68"/>
      <c r="AC65" s="68"/>
      <c r="AD65" s="69"/>
      <c r="AE65" s="71"/>
      <c r="AF65" s="114"/>
    </row>
    <row r="66" spans="1:32" s="64" customFormat="1" ht="15" customHeight="1" x14ac:dyDescent="0.25">
      <c r="A66" s="108" t="e">
        <f>IF(UC_DADOS!$B$2=0,"",UC_DADOS!$B$2)</f>
        <v>#N/A</v>
      </c>
      <c r="B66" s="113"/>
      <c r="C66" s="65"/>
      <c r="D66" s="68"/>
      <c r="E66" s="68"/>
      <c r="F66" s="68"/>
      <c r="G66" s="68"/>
      <c r="H66" s="68"/>
      <c r="I66" s="314">
        <f t="shared" si="0"/>
        <v>0</v>
      </c>
      <c r="J66" s="68"/>
      <c r="K66" s="65"/>
      <c r="L66" s="68"/>
      <c r="M66" s="68"/>
      <c r="N66" s="68"/>
      <c r="O66" s="68"/>
      <c r="P66" s="118"/>
      <c r="Q66" s="68"/>
      <c r="R66" s="68"/>
      <c r="S66" s="68"/>
      <c r="T66" s="68"/>
      <c r="U66" s="68"/>
      <c r="V66" s="68"/>
      <c r="W66" s="68"/>
      <c r="X66" s="68"/>
      <c r="Y66" s="68"/>
      <c r="Z66" s="114"/>
      <c r="AA66" s="65"/>
      <c r="AB66" s="68"/>
      <c r="AC66" s="68"/>
      <c r="AD66" s="69"/>
      <c r="AE66" s="71"/>
      <c r="AF66" s="114"/>
    </row>
    <row r="67" spans="1:32" s="64" customFormat="1" ht="15" customHeight="1" x14ac:dyDescent="0.25">
      <c r="A67" s="108" t="e">
        <f>IF(UC_DADOS!$B$2=0,"",UC_DADOS!$B$2)</f>
        <v>#N/A</v>
      </c>
      <c r="B67" s="113"/>
      <c r="C67" s="65"/>
      <c r="D67" s="68"/>
      <c r="E67" s="68"/>
      <c r="F67" s="68"/>
      <c r="G67" s="68"/>
      <c r="H67" s="68"/>
      <c r="I67" s="314">
        <f t="shared" si="0"/>
        <v>0</v>
      </c>
      <c r="J67" s="68"/>
      <c r="K67" s="65"/>
      <c r="L67" s="68"/>
      <c r="M67" s="68"/>
      <c r="N67" s="68"/>
      <c r="O67" s="68"/>
      <c r="P67" s="118"/>
      <c r="Q67" s="68"/>
      <c r="R67" s="68"/>
      <c r="S67" s="68"/>
      <c r="T67" s="68"/>
      <c r="U67" s="68"/>
      <c r="V67" s="68"/>
      <c r="W67" s="68"/>
      <c r="X67" s="68"/>
      <c r="Y67" s="68"/>
      <c r="Z67" s="114"/>
      <c r="AA67" s="65"/>
      <c r="AB67" s="68"/>
      <c r="AC67" s="68"/>
      <c r="AD67" s="69"/>
      <c r="AE67" s="71"/>
      <c r="AF67" s="114"/>
    </row>
    <row r="68" spans="1:32" s="64" customFormat="1" ht="15" customHeight="1" x14ac:dyDescent="0.25">
      <c r="A68" s="108" t="e">
        <f>IF(UC_DADOS!$B$2=0,"",UC_DADOS!$B$2)</f>
        <v>#N/A</v>
      </c>
      <c r="B68" s="113"/>
      <c r="C68" s="65"/>
      <c r="D68" s="68"/>
      <c r="E68" s="68"/>
      <c r="F68" s="68"/>
      <c r="G68" s="68"/>
      <c r="H68" s="68"/>
      <c r="I68" s="314">
        <f t="shared" ref="I68:I100" si="1">J68*E68</f>
        <v>0</v>
      </c>
      <c r="J68" s="68"/>
      <c r="K68" s="65"/>
      <c r="L68" s="68"/>
      <c r="M68" s="68"/>
      <c r="N68" s="68"/>
      <c r="O68" s="68"/>
      <c r="P68" s="118"/>
      <c r="Q68" s="68"/>
      <c r="R68" s="68"/>
      <c r="S68" s="68"/>
      <c r="T68" s="68"/>
      <c r="U68" s="68"/>
      <c r="V68" s="68"/>
      <c r="W68" s="68"/>
      <c r="X68" s="68"/>
      <c r="Y68" s="68"/>
      <c r="Z68" s="114"/>
      <c r="AA68" s="65"/>
      <c r="AB68" s="68"/>
      <c r="AC68" s="68"/>
      <c r="AD68" s="69"/>
      <c r="AE68" s="71"/>
      <c r="AF68" s="114"/>
    </row>
    <row r="69" spans="1:32" s="64" customFormat="1" ht="15" customHeight="1" x14ac:dyDescent="0.25">
      <c r="A69" s="108" t="e">
        <f>IF(UC_DADOS!$B$2=0,"",UC_DADOS!$B$2)</f>
        <v>#N/A</v>
      </c>
      <c r="B69" s="113"/>
      <c r="C69" s="65"/>
      <c r="D69" s="68"/>
      <c r="E69" s="68"/>
      <c r="F69" s="68"/>
      <c r="G69" s="68"/>
      <c r="H69" s="68"/>
      <c r="I69" s="314">
        <f t="shared" si="1"/>
        <v>0</v>
      </c>
      <c r="J69" s="68"/>
      <c r="K69" s="65"/>
      <c r="L69" s="68"/>
      <c r="M69" s="68"/>
      <c r="N69" s="68"/>
      <c r="O69" s="68"/>
      <c r="P69" s="118"/>
      <c r="Q69" s="68"/>
      <c r="R69" s="68"/>
      <c r="S69" s="68"/>
      <c r="T69" s="68"/>
      <c r="U69" s="68"/>
      <c r="V69" s="68"/>
      <c r="W69" s="68"/>
      <c r="X69" s="68"/>
      <c r="Y69" s="68"/>
      <c r="Z69" s="114"/>
      <c r="AA69" s="65"/>
      <c r="AB69" s="68"/>
      <c r="AC69" s="68"/>
      <c r="AD69" s="69"/>
      <c r="AE69" s="71"/>
      <c r="AF69" s="114"/>
    </row>
    <row r="70" spans="1:32" s="64" customFormat="1" ht="15" customHeight="1" x14ac:dyDescent="0.25">
      <c r="A70" s="108" t="e">
        <f>IF(UC_DADOS!$B$2=0,"",UC_DADOS!$B$2)</f>
        <v>#N/A</v>
      </c>
      <c r="B70" s="113"/>
      <c r="C70" s="65"/>
      <c r="D70" s="68"/>
      <c r="E70" s="68"/>
      <c r="F70" s="68"/>
      <c r="G70" s="68"/>
      <c r="H70" s="68"/>
      <c r="I70" s="314">
        <f t="shared" si="1"/>
        <v>0</v>
      </c>
      <c r="J70" s="68"/>
      <c r="K70" s="65"/>
      <c r="L70" s="68"/>
      <c r="M70" s="68"/>
      <c r="N70" s="68"/>
      <c r="O70" s="68"/>
      <c r="P70" s="118"/>
      <c r="Q70" s="68"/>
      <c r="R70" s="68"/>
      <c r="S70" s="68"/>
      <c r="T70" s="68"/>
      <c r="U70" s="68"/>
      <c r="V70" s="68"/>
      <c r="W70" s="68"/>
      <c r="X70" s="68"/>
      <c r="Y70" s="68"/>
      <c r="Z70" s="114"/>
      <c r="AA70" s="65"/>
      <c r="AB70" s="68"/>
      <c r="AC70" s="68"/>
      <c r="AD70" s="69"/>
      <c r="AE70" s="71"/>
      <c r="AF70" s="114"/>
    </row>
    <row r="71" spans="1:32" s="64" customFormat="1" ht="15" customHeight="1" x14ac:dyDescent="0.25">
      <c r="A71" s="108" t="e">
        <f>IF(UC_DADOS!$B$2=0,"",UC_DADOS!$B$2)</f>
        <v>#N/A</v>
      </c>
      <c r="B71" s="113"/>
      <c r="C71" s="65"/>
      <c r="D71" s="68"/>
      <c r="E71" s="68"/>
      <c r="F71" s="68"/>
      <c r="G71" s="68"/>
      <c r="H71" s="68"/>
      <c r="I71" s="314">
        <f t="shared" si="1"/>
        <v>0</v>
      </c>
      <c r="J71" s="68"/>
      <c r="K71" s="65"/>
      <c r="L71" s="68"/>
      <c r="M71" s="68"/>
      <c r="N71" s="68"/>
      <c r="O71" s="68"/>
      <c r="P71" s="118"/>
      <c r="Q71" s="68"/>
      <c r="R71" s="68"/>
      <c r="S71" s="68"/>
      <c r="T71" s="68"/>
      <c r="U71" s="68"/>
      <c r="V71" s="68"/>
      <c r="W71" s="68"/>
      <c r="X71" s="68"/>
      <c r="Y71" s="68"/>
      <c r="Z71" s="114"/>
      <c r="AA71" s="65"/>
      <c r="AB71" s="68"/>
      <c r="AC71" s="68"/>
      <c r="AD71" s="69"/>
      <c r="AE71" s="71"/>
      <c r="AF71" s="114"/>
    </row>
    <row r="72" spans="1:32" s="64" customFormat="1" ht="15" customHeight="1" x14ac:dyDescent="0.25">
      <c r="A72" s="108" t="e">
        <f>IF(UC_DADOS!$B$2=0,"",UC_DADOS!$B$2)</f>
        <v>#N/A</v>
      </c>
      <c r="B72" s="113"/>
      <c r="C72" s="65"/>
      <c r="D72" s="68"/>
      <c r="E72" s="68"/>
      <c r="F72" s="68"/>
      <c r="G72" s="68"/>
      <c r="H72" s="68"/>
      <c r="I72" s="314">
        <f t="shared" si="1"/>
        <v>0</v>
      </c>
      <c r="J72" s="68"/>
      <c r="K72" s="65"/>
      <c r="L72" s="68"/>
      <c r="M72" s="68"/>
      <c r="N72" s="68"/>
      <c r="O72" s="68"/>
      <c r="P72" s="118"/>
      <c r="Q72" s="68"/>
      <c r="R72" s="68"/>
      <c r="S72" s="68"/>
      <c r="T72" s="68"/>
      <c r="U72" s="68"/>
      <c r="V72" s="68"/>
      <c r="W72" s="68"/>
      <c r="X72" s="68"/>
      <c r="Y72" s="68"/>
      <c r="Z72" s="114"/>
      <c r="AA72" s="65"/>
      <c r="AB72" s="68"/>
      <c r="AC72" s="68"/>
      <c r="AD72" s="69"/>
      <c r="AE72" s="71"/>
      <c r="AF72" s="114"/>
    </row>
    <row r="73" spans="1:32" s="64" customFormat="1" ht="15" customHeight="1" x14ac:dyDescent="0.25">
      <c r="A73" s="108" t="e">
        <f>IF(UC_DADOS!$B$2=0,"",UC_DADOS!$B$2)</f>
        <v>#N/A</v>
      </c>
      <c r="B73" s="113"/>
      <c r="C73" s="65"/>
      <c r="D73" s="68"/>
      <c r="E73" s="68"/>
      <c r="F73" s="68"/>
      <c r="G73" s="68"/>
      <c r="H73" s="68"/>
      <c r="I73" s="314">
        <f t="shared" si="1"/>
        <v>0</v>
      </c>
      <c r="J73" s="68"/>
      <c r="K73" s="65"/>
      <c r="L73" s="68"/>
      <c r="M73" s="68"/>
      <c r="N73" s="68"/>
      <c r="O73" s="68"/>
      <c r="P73" s="118"/>
      <c r="Q73" s="68"/>
      <c r="R73" s="68"/>
      <c r="S73" s="68"/>
      <c r="T73" s="68"/>
      <c r="U73" s="68"/>
      <c r="V73" s="68"/>
      <c r="W73" s="68"/>
      <c r="X73" s="68"/>
      <c r="Y73" s="68"/>
      <c r="Z73" s="114"/>
      <c r="AA73" s="65"/>
      <c r="AB73" s="68"/>
      <c r="AC73" s="68"/>
      <c r="AD73" s="69"/>
      <c r="AE73" s="71"/>
      <c r="AF73" s="114"/>
    </row>
    <row r="74" spans="1:32" s="64" customFormat="1" ht="15" customHeight="1" x14ac:dyDescent="0.25">
      <c r="A74" s="108" t="e">
        <f>IF(UC_DADOS!$B$2=0,"",UC_DADOS!$B$2)</f>
        <v>#N/A</v>
      </c>
      <c r="B74" s="113"/>
      <c r="C74" s="65"/>
      <c r="D74" s="68"/>
      <c r="E74" s="68"/>
      <c r="F74" s="68"/>
      <c r="G74" s="68"/>
      <c r="H74" s="68"/>
      <c r="I74" s="314">
        <f t="shared" si="1"/>
        <v>0</v>
      </c>
      <c r="J74" s="68"/>
      <c r="K74" s="65"/>
      <c r="L74" s="68"/>
      <c r="M74" s="68"/>
      <c r="N74" s="68"/>
      <c r="O74" s="68"/>
      <c r="P74" s="118"/>
      <c r="Q74" s="68"/>
      <c r="R74" s="68"/>
      <c r="S74" s="68"/>
      <c r="T74" s="68"/>
      <c r="U74" s="68"/>
      <c r="V74" s="68"/>
      <c r="W74" s="68"/>
      <c r="X74" s="68"/>
      <c r="Y74" s="68"/>
      <c r="Z74" s="114"/>
      <c r="AA74" s="65"/>
      <c r="AB74" s="68"/>
      <c r="AC74" s="68"/>
      <c r="AD74" s="69"/>
      <c r="AE74" s="71"/>
      <c r="AF74" s="114"/>
    </row>
    <row r="75" spans="1:32" s="64" customFormat="1" ht="15" customHeight="1" x14ac:dyDescent="0.25">
      <c r="A75" s="108" t="e">
        <f>IF(UC_DADOS!$B$2=0,"",UC_DADOS!$B$2)</f>
        <v>#N/A</v>
      </c>
      <c r="B75" s="113"/>
      <c r="C75" s="65"/>
      <c r="D75" s="68"/>
      <c r="E75" s="68"/>
      <c r="F75" s="68"/>
      <c r="G75" s="68"/>
      <c r="H75" s="68"/>
      <c r="I75" s="314">
        <f t="shared" si="1"/>
        <v>0</v>
      </c>
      <c r="J75" s="68"/>
      <c r="K75" s="65"/>
      <c r="L75" s="68"/>
      <c r="M75" s="68"/>
      <c r="N75" s="68"/>
      <c r="O75" s="68"/>
      <c r="P75" s="118"/>
      <c r="Q75" s="68"/>
      <c r="R75" s="68"/>
      <c r="S75" s="68"/>
      <c r="T75" s="68"/>
      <c r="U75" s="68"/>
      <c r="V75" s="68"/>
      <c r="W75" s="68"/>
      <c r="X75" s="68"/>
      <c r="Y75" s="68"/>
      <c r="Z75" s="114"/>
      <c r="AA75" s="65"/>
      <c r="AB75" s="68"/>
      <c r="AC75" s="68"/>
      <c r="AD75" s="69"/>
      <c r="AE75" s="71"/>
      <c r="AF75" s="114"/>
    </row>
    <row r="76" spans="1:32" s="64" customFormat="1" ht="15" customHeight="1" x14ac:dyDescent="0.25">
      <c r="A76" s="108" t="e">
        <f>IF(UC_DADOS!$B$2=0,"",UC_DADOS!$B$2)</f>
        <v>#N/A</v>
      </c>
      <c r="B76" s="113"/>
      <c r="C76" s="65"/>
      <c r="D76" s="68"/>
      <c r="E76" s="68"/>
      <c r="F76" s="68"/>
      <c r="G76" s="68"/>
      <c r="H76" s="68"/>
      <c r="I76" s="314">
        <f t="shared" si="1"/>
        <v>0</v>
      </c>
      <c r="J76" s="68"/>
      <c r="K76" s="65"/>
      <c r="L76" s="68"/>
      <c r="M76" s="68"/>
      <c r="N76" s="68"/>
      <c r="O76" s="68"/>
      <c r="P76" s="118"/>
      <c r="Q76" s="68"/>
      <c r="R76" s="68"/>
      <c r="S76" s="68"/>
      <c r="T76" s="68"/>
      <c r="U76" s="68"/>
      <c r="V76" s="68"/>
      <c r="W76" s="68"/>
      <c r="X76" s="68"/>
      <c r="Y76" s="68"/>
      <c r="Z76" s="114"/>
      <c r="AA76" s="65"/>
      <c r="AB76" s="68"/>
      <c r="AC76" s="68"/>
      <c r="AD76" s="69"/>
      <c r="AE76" s="71"/>
      <c r="AF76" s="114"/>
    </row>
    <row r="77" spans="1:32" s="64" customFormat="1" ht="15" customHeight="1" x14ac:dyDescent="0.25">
      <c r="A77" s="108" t="e">
        <f>IF(UC_DADOS!$B$2=0,"",UC_DADOS!$B$2)</f>
        <v>#N/A</v>
      </c>
      <c r="B77" s="113"/>
      <c r="C77" s="65"/>
      <c r="D77" s="68"/>
      <c r="E77" s="68"/>
      <c r="F77" s="68"/>
      <c r="G77" s="68"/>
      <c r="H77" s="68"/>
      <c r="I77" s="314">
        <f t="shared" si="1"/>
        <v>0</v>
      </c>
      <c r="J77" s="68"/>
      <c r="K77" s="65"/>
      <c r="L77" s="68"/>
      <c r="M77" s="68"/>
      <c r="N77" s="68"/>
      <c r="O77" s="68"/>
      <c r="P77" s="118"/>
      <c r="Q77" s="68"/>
      <c r="R77" s="68"/>
      <c r="S77" s="68"/>
      <c r="T77" s="68"/>
      <c r="U77" s="68"/>
      <c r="V77" s="68"/>
      <c r="W77" s="68"/>
      <c r="X77" s="68"/>
      <c r="Y77" s="68"/>
      <c r="Z77" s="114"/>
      <c r="AA77" s="65"/>
      <c r="AB77" s="68"/>
      <c r="AC77" s="68"/>
      <c r="AD77" s="69"/>
      <c r="AE77" s="71"/>
      <c r="AF77" s="114"/>
    </row>
    <row r="78" spans="1:32" s="64" customFormat="1" ht="15" customHeight="1" x14ac:dyDescent="0.25">
      <c r="A78" s="108" t="e">
        <f>IF(UC_DADOS!$B$2=0,"",UC_DADOS!$B$2)</f>
        <v>#N/A</v>
      </c>
      <c r="B78" s="113"/>
      <c r="C78" s="65"/>
      <c r="D78" s="68"/>
      <c r="E78" s="68"/>
      <c r="F78" s="68"/>
      <c r="G78" s="68"/>
      <c r="H78" s="68"/>
      <c r="I78" s="314">
        <f t="shared" si="1"/>
        <v>0</v>
      </c>
      <c r="J78" s="68"/>
      <c r="K78" s="65"/>
      <c r="L78" s="68"/>
      <c r="M78" s="68"/>
      <c r="N78" s="68"/>
      <c r="O78" s="68"/>
      <c r="P78" s="118"/>
      <c r="Q78" s="68"/>
      <c r="R78" s="68"/>
      <c r="S78" s="68"/>
      <c r="T78" s="68"/>
      <c r="U78" s="68"/>
      <c r="V78" s="68"/>
      <c r="W78" s="68"/>
      <c r="X78" s="68"/>
      <c r="Y78" s="68"/>
      <c r="Z78" s="114"/>
      <c r="AA78" s="65"/>
      <c r="AB78" s="68"/>
      <c r="AC78" s="68"/>
      <c r="AD78" s="69"/>
      <c r="AE78" s="71"/>
      <c r="AF78" s="114"/>
    </row>
    <row r="79" spans="1:32" s="64" customFormat="1" ht="15" customHeight="1" x14ac:dyDescent="0.25">
      <c r="A79" s="108" t="e">
        <f>IF(UC_DADOS!$B$2=0,"",UC_DADOS!$B$2)</f>
        <v>#N/A</v>
      </c>
      <c r="B79" s="113"/>
      <c r="C79" s="65"/>
      <c r="D79" s="68"/>
      <c r="E79" s="68"/>
      <c r="F79" s="68"/>
      <c r="G79" s="68"/>
      <c r="H79" s="68"/>
      <c r="I79" s="314">
        <f t="shared" si="1"/>
        <v>0</v>
      </c>
      <c r="J79" s="68"/>
      <c r="K79" s="65"/>
      <c r="L79" s="68"/>
      <c r="M79" s="68"/>
      <c r="N79" s="68"/>
      <c r="O79" s="68"/>
      <c r="P79" s="118"/>
      <c r="Q79" s="68"/>
      <c r="R79" s="68"/>
      <c r="S79" s="68"/>
      <c r="T79" s="68"/>
      <c r="U79" s="68"/>
      <c r="V79" s="68"/>
      <c r="W79" s="68"/>
      <c r="X79" s="68"/>
      <c r="Y79" s="68"/>
      <c r="Z79" s="114"/>
      <c r="AA79" s="65"/>
      <c r="AB79" s="68"/>
      <c r="AC79" s="68"/>
      <c r="AD79" s="69"/>
      <c r="AE79" s="71"/>
      <c r="AF79" s="114"/>
    </row>
    <row r="80" spans="1:32" s="64" customFormat="1" ht="15" customHeight="1" x14ac:dyDescent="0.25">
      <c r="A80" s="108" t="e">
        <f>IF(UC_DADOS!$B$2=0,"",UC_DADOS!$B$2)</f>
        <v>#N/A</v>
      </c>
      <c r="B80" s="113"/>
      <c r="C80" s="65"/>
      <c r="D80" s="68"/>
      <c r="E80" s="68"/>
      <c r="F80" s="68"/>
      <c r="G80" s="68"/>
      <c r="H80" s="68"/>
      <c r="I80" s="314">
        <f t="shared" si="1"/>
        <v>0</v>
      </c>
      <c r="J80" s="68"/>
      <c r="K80" s="65"/>
      <c r="L80" s="68"/>
      <c r="M80" s="68"/>
      <c r="N80" s="68"/>
      <c r="O80" s="68"/>
      <c r="P80" s="118"/>
      <c r="Q80" s="68"/>
      <c r="R80" s="68"/>
      <c r="S80" s="68"/>
      <c r="T80" s="68"/>
      <c r="U80" s="68"/>
      <c r="V80" s="68"/>
      <c r="W80" s="68"/>
      <c r="X80" s="68"/>
      <c r="Y80" s="68"/>
      <c r="Z80" s="114"/>
      <c r="AA80" s="65"/>
      <c r="AB80" s="68"/>
      <c r="AC80" s="68"/>
      <c r="AD80" s="69"/>
      <c r="AE80" s="71"/>
      <c r="AF80" s="114"/>
    </row>
    <row r="81" spans="1:32" s="64" customFormat="1" ht="15" customHeight="1" x14ac:dyDescent="0.25">
      <c r="A81" s="108" t="e">
        <f>IF(UC_DADOS!$B$2=0,"",UC_DADOS!$B$2)</f>
        <v>#N/A</v>
      </c>
      <c r="B81" s="113"/>
      <c r="C81" s="65"/>
      <c r="D81" s="68"/>
      <c r="E81" s="68"/>
      <c r="F81" s="68"/>
      <c r="G81" s="68"/>
      <c r="H81" s="68"/>
      <c r="I81" s="314">
        <f t="shared" si="1"/>
        <v>0</v>
      </c>
      <c r="J81" s="68"/>
      <c r="K81" s="65"/>
      <c r="L81" s="68"/>
      <c r="M81" s="68"/>
      <c r="N81" s="68"/>
      <c r="O81" s="68"/>
      <c r="P81" s="118"/>
      <c r="Q81" s="68"/>
      <c r="R81" s="68"/>
      <c r="S81" s="68"/>
      <c r="T81" s="68"/>
      <c r="U81" s="68"/>
      <c r="V81" s="68"/>
      <c r="W81" s="68"/>
      <c r="X81" s="68"/>
      <c r="Y81" s="68"/>
      <c r="Z81" s="114"/>
      <c r="AA81" s="65"/>
      <c r="AB81" s="68"/>
      <c r="AC81" s="68"/>
      <c r="AD81" s="69"/>
      <c r="AE81" s="71"/>
      <c r="AF81" s="114"/>
    </row>
    <row r="82" spans="1:32" s="64" customFormat="1" ht="15" customHeight="1" x14ac:dyDescent="0.25">
      <c r="A82" s="108" t="e">
        <f>IF(UC_DADOS!$B$2=0,"",UC_DADOS!$B$2)</f>
        <v>#N/A</v>
      </c>
      <c r="B82" s="113"/>
      <c r="C82" s="65"/>
      <c r="D82" s="68"/>
      <c r="E82" s="68"/>
      <c r="F82" s="68"/>
      <c r="G82" s="68"/>
      <c r="H82" s="68"/>
      <c r="I82" s="314">
        <f t="shared" si="1"/>
        <v>0</v>
      </c>
      <c r="J82" s="68"/>
      <c r="K82" s="65"/>
      <c r="L82" s="68"/>
      <c r="M82" s="68"/>
      <c r="N82" s="68"/>
      <c r="O82" s="68"/>
      <c r="P82" s="118"/>
      <c r="Q82" s="68"/>
      <c r="R82" s="68"/>
      <c r="S82" s="68"/>
      <c r="T82" s="68"/>
      <c r="U82" s="68"/>
      <c r="V82" s="68"/>
      <c r="W82" s="68"/>
      <c r="X82" s="68"/>
      <c r="Y82" s="68"/>
      <c r="Z82" s="114"/>
      <c r="AA82" s="65"/>
      <c r="AB82" s="68"/>
      <c r="AC82" s="68"/>
      <c r="AD82" s="69"/>
      <c r="AE82" s="71"/>
      <c r="AF82" s="114"/>
    </row>
    <row r="83" spans="1:32" s="64" customFormat="1" ht="15" customHeight="1" x14ac:dyDescent="0.25">
      <c r="A83" s="108" t="e">
        <f>IF(UC_DADOS!$B$2=0,"",UC_DADOS!$B$2)</f>
        <v>#N/A</v>
      </c>
      <c r="B83" s="113"/>
      <c r="C83" s="65"/>
      <c r="D83" s="68"/>
      <c r="E83" s="68"/>
      <c r="F83" s="68"/>
      <c r="G83" s="68"/>
      <c r="H83" s="68"/>
      <c r="I83" s="314">
        <f t="shared" si="1"/>
        <v>0</v>
      </c>
      <c r="J83" s="68"/>
      <c r="K83" s="65"/>
      <c r="L83" s="68"/>
      <c r="M83" s="68"/>
      <c r="N83" s="68"/>
      <c r="O83" s="68"/>
      <c r="P83" s="118"/>
      <c r="Q83" s="68"/>
      <c r="R83" s="68"/>
      <c r="S83" s="68"/>
      <c r="T83" s="68"/>
      <c r="U83" s="68"/>
      <c r="V83" s="68"/>
      <c r="W83" s="68"/>
      <c r="X83" s="68"/>
      <c r="Y83" s="68"/>
      <c r="Z83" s="114"/>
      <c r="AA83" s="65"/>
      <c r="AB83" s="68"/>
      <c r="AC83" s="68"/>
      <c r="AD83" s="69"/>
      <c r="AE83" s="71"/>
      <c r="AF83" s="114"/>
    </row>
    <row r="84" spans="1:32" s="64" customFormat="1" ht="15" customHeight="1" x14ac:dyDescent="0.25">
      <c r="A84" s="108" t="e">
        <f>IF(UC_DADOS!$B$2=0,"",UC_DADOS!$B$2)</f>
        <v>#N/A</v>
      </c>
      <c r="B84" s="113"/>
      <c r="C84" s="65"/>
      <c r="D84" s="68"/>
      <c r="E84" s="68"/>
      <c r="F84" s="68"/>
      <c r="G84" s="68"/>
      <c r="H84" s="68"/>
      <c r="I84" s="314">
        <f t="shared" si="1"/>
        <v>0</v>
      </c>
      <c r="J84" s="68"/>
      <c r="K84" s="65"/>
      <c r="L84" s="68"/>
      <c r="M84" s="68"/>
      <c r="N84" s="68"/>
      <c r="O84" s="68"/>
      <c r="P84" s="118"/>
      <c r="Q84" s="68"/>
      <c r="R84" s="68"/>
      <c r="S84" s="68"/>
      <c r="T84" s="68"/>
      <c r="U84" s="68"/>
      <c r="V84" s="68"/>
      <c r="W84" s="68"/>
      <c r="X84" s="68"/>
      <c r="Y84" s="68"/>
      <c r="Z84" s="114"/>
      <c r="AA84" s="65"/>
      <c r="AB84" s="68"/>
      <c r="AC84" s="68"/>
      <c r="AD84" s="69"/>
      <c r="AE84" s="71"/>
      <c r="AF84" s="114"/>
    </row>
    <row r="85" spans="1:32" s="64" customFormat="1" ht="15" customHeight="1" x14ac:dyDescent="0.25">
      <c r="A85" s="108" t="e">
        <f>IF(UC_DADOS!$B$2=0,"",UC_DADOS!$B$2)</f>
        <v>#N/A</v>
      </c>
      <c r="B85" s="113"/>
      <c r="C85" s="65"/>
      <c r="D85" s="68"/>
      <c r="E85" s="68"/>
      <c r="F85" s="68"/>
      <c r="G85" s="68"/>
      <c r="H85" s="68"/>
      <c r="I85" s="314">
        <f t="shared" si="1"/>
        <v>0</v>
      </c>
      <c r="J85" s="68"/>
      <c r="K85" s="65"/>
      <c r="L85" s="68"/>
      <c r="M85" s="68"/>
      <c r="N85" s="68"/>
      <c r="O85" s="68"/>
      <c r="P85" s="118"/>
      <c r="Q85" s="68"/>
      <c r="R85" s="68"/>
      <c r="S85" s="68"/>
      <c r="T85" s="68"/>
      <c r="U85" s="68"/>
      <c r="V85" s="68"/>
      <c r="W85" s="68"/>
      <c r="X85" s="68"/>
      <c r="Y85" s="68"/>
      <c r="Z85" s="114"/>
      <c r="AA85" s="65"/>
      <c r="AB85" s="68"/>
      <c r="AC85" s="68"/>
      <c r="AD85" s="69"/>
      <c r="AE85" s="71"/>
      <c r="AF85" s="114"/>
    </row>
    <row r="86" spans="1:32" s="64" customFormat="1" ht="15" customHeight="1" x14ac:dyDescent="0.25">
      <c r="A86" s="108" t="e">
        <f>IF(UC_DADOS!$B$2=0,"",UC_DADOS!$B$2)</f>
        <v>#N/A</v>
      </c>
      <c r="B86" s="113"/>
      <c r="C86" s="65"/>
      <c r="D86" s="68"/>
      <c r="E86" s="68"/>
      <c r="F86" s="68"/>
      <c r="G86" s="68"/>
      <c r="H86" s="68"/>
      <c r="I86" s="314">
        <f t="shared" si="1"/>
        <v>0</v>
      </c>
      <c r="J86" s="68"/>
      <c r="K86" s="65"/>
      <c r="L86" s="68"/>
      <c r="M86" s="68"/>
      <c r="N86" s="68"/>
      <c r="O86" s="68"/>
      <c r="P86" s="118"/>
      <c r="Q86" s="68"/>
      <c r="R86" s="68"/>
      <c r="S86" s="68"/>
      <c r="T86" s="68"/>
      <c r="U86" s="68"/>
      <c r="V86" s="68"/>
      <c r="W86" s="68"/>
      <c r="X86" s="68"/>
      <c r="Y86" s="68"/>
      <c r="Z86" s="114"/>
      <c r="AA86" s="65"/>
      <c r="AB86" s="68"/>
      <c r="AC86" s="68"/>
      <c r="AD86" s="69"/>
      <c r="AE86" s="71"/>
      <c r="AF86" s="114"/>
    </row>
    <row r="87" spans="1:32" s="64" customFormat="1" ht="15" customHeight="1" x14ac:dyDescent="0.25">
      <c r="A87" s="108" t="e">
        <f>IF(UC_DADOS!$B$2=0,"",UC_DADOS!$B$2)</f>
        <v>#N/A</v>
      </c>
      <c r="B87" s="113"/>
      <c r="C87" s="65"/>
      <c r="D87" s="68"/>
      <c r="E87" s="68"/>
      <c r="F87" s="68"/>
      <c r="G87" s="68"/>
      <c r="H87" s="68"/>
      <c r="I87" s="314">
        <f t="shared" si="1"/>
        <v>0</v>
      </c>
      <c r="J87" s="68"/>
      <c r="K87" s="65"/>
      <c r="L87" s="68"/>
      <c r="M87" s="68"/>
      <c r="N87" s="68"/>
      <c r="O87" s="68"/>
      <c r="P87" s="118"/>
      <c r="Q87" s="68"/>
      <c r="R87" s="68"/>
      <c r="S87" s="68"/>
      <c r="T87" s="68"/>
      <c r="U87" s="68"/>
      <c r="V87" s="68"/>
      <c r="W87" s="68"/>
      <c r="X87" s="68"/>
      <c r="Y87" s="68"/>
      <c r="Z87" s="114"/>
      <c r="AA87" s="65"/>
      <c r="AB87" s="68"/>
      <c r="AC87" s="68"/>
      <c r="AD87" s="69"/>
      <c r="AE87" s="71"/>
      <c r="AF87" s="114"/>
    </row>
    <row r="88" spans="1:32" s="64" customFormat="1" ht="15" customHeight="1" x14ac:dyDescent="0.25">
      <c r="A88" s="108" t="e">
        <f>IF(UC_DADOS!$B$2=0,"",UC_DADOS!$B$2)</f>
        <v>#N/A</v>
      </c>
      <c r="B88" s="113"/>
      <c r="C88" s="65"/>
      <c r="D88" s="68"/>
      <c r="E88" s="68"/>
      <c r="F88" s="68"/>
      <c r="G88" s="68"/>
      <c r="H88" s="68"/>
      <c r="I88" s="314">
        <f t="shared" si="1"/>
        <v>0</v>
      </c>
      <c r="J88" s="68"/>
      <c r="K88" s="65"/>
      <c r="L88" s="68"/>
      <c r="M88" s="68"/>
      <c r="N88" s="68"/>
      <c r="O88" s="68"/>
      <c r="P88" s="118"/>
      <c r="Q88" s="68"/>
      <c r="R88" s="68"/>
      <c r="S88" s="68"/>
      <c r="T88" s="68"/>
      <c r="U88" s="68"/>
      <c r="V88" s="68"/>
      <c r="W88" s="68"/>
      <c r="X88" s="68"/>
      <c r="Y88" s="68"/>
      <c r="Z88" s="114"/>
      <c r="AA88" s="65"/>
      <c r="AB88" s="68"/>
      <c r="AC88" s="68"/>
      <c r="AD88" s="69"/>
      <c r="AE88" s="71"/>
      <c r="AF88" s="114"/>
    </row>
    <row r="89" spans="1:32" s="64" customFormat="1" ht="15" customHeight="1" x14ac:dyDescent="0.25">
      <c r="A89" s="108" t="e">
        <f>IF(UC_DADOS!$B$2=0,"",UC_DADOS!$B$2)</f>
        <v>#N/A</v>
      </c>
      <c r="B89" s="113"/>
      <c r="C89" s="65"/>
      <c r="D89" s="68"/>
      <c r="E89" s="68"/>
      <c r="F89" s="68"/>
      <c r="G89" s="68"/>
      <c r="H89" s="68"/>
      <c r="I89" s="314">
        <f t="shared" si="1"/>
        <v>0</v>
      </c>
      <c r="J89" s="68"/>
      <c r="K89" s="65"/>
      <c r="L89" s="68"/>
      <c r="M89" s="68"/>
      <c r="N89" s="68"/>
      <c r="O89" s="68"/>
      <c r="P89" s="118"/>
      <c r="Q89" s="68"/>
      <c r="R89" s="68"/>
      <c r="S89" s="68"/>
      <c r="T89" s="68"/>
      <c r="U89" s="68"/>
      <c r="V89" s="68"/>
      <c r="W89" s="68"/>
      <c r="X89" s="68"/>
      <c r="Y89" s="68"/>
      <c r="Z89" s="114"/>
      <c r="AA89" s="65"/>
      <c r="AB89" s="68"/>
      <c r="AC89" s="68"/>
      <c r="AD89" s="69"/>
      <c r="AE89" s="71"/>
      <c r="AF89" s="114"/>
    </row>
    <row r="90" spans="1:32" s="64" customFormat="1" ht="15" customHeight="1" x14ac:dyDescent="0.25">
      <c r="A90" s="108" t="e">
        <f>IF(UC_DADOS!$B$2=0,"",UC_DADOS!$B$2)</f>
        <v>#N/A</v>
      </c>
      <c r="B90" s="113"/>
      <c r="C90" s="65"/>
      <c r="D90" s="68"/>
      <c r="E90" s="68"/>
      <c r="F90" s="68"/>
      <c r="G90" s="68"/>
      <c r="H90" s="68"/>
      <c r="I90" s="314">
        <f t="shared" si="1"/>
        <v>0</v>
      </c>
      <c r="J90" s="68"/>
      <c r="K90" s="65"/>
      <c r="L90" s="68"/>
      <c r="M90" s="68"/>
      <c r="N90" s="68"/>
      <c r="O90" s="68"/>
      <c r="P90" s="118"/>
      <c r="Q90" s="68"/>
      <c r="R90" s="68"/>
      <c r="S90" s="68"/>
      <c r="T90" s="68"/>
      <c r="U90" s="68"/>
      <c r="V90" s="68"/>
      <c r="W90" s="68"/>
      <c r="X90" s="68"/>
      <c r="Y90" s="68"/>
      <c r="Z90" s="114"/>
      <c r="AA90" s="65"/>
      <c r="AB90" s="68"/>
      <c r="AC90" s="68"/>
      <c r="AD90" s="69"/>
      <c r="AE90" s="71"/>
      <c r="AF90" s="114"/>
    </row>
    <row r="91" spans="1:32" s="64" customFormat="1" ht="15" customHeight="1" x14ac:dyDescent="0.25">
      <c r="A91" s="108" t="e">
        <f>IF(UC_DADOS!$B$2=0,"",UC_DADOS!$B$2)</f>
        <v>#N/A</v>
      </c>
      <c r="B91" s="113"/>
      <c r="C91" s="65"/>
      <c r="D91" s="68"/>
      <c r="E91" s="68"/>
      <c r="F91" s="68"/>
      <c r="G91" s="68"/>
      <c r="H91" s="68"/>
      <c r="I91" s="314">
        <f t="shared" si="1"/>
        <v>0</v>
      </c>
      <c r="J91" s="68"/>
      <c r="K91" s="65"/>
      <c r="L91" s="68"/>
      <c r="M91" s="68"/>
      <c r="N91" s="68"/>
      <c r="O91" s="68"/>
      <c r="P91" s="118"/>
      <c r="Q91" s="68"/>
      <c r="R91" s="68"/>
      <c r="S91" s="68"/>
      <c r="T91" s="68"/>
      <c r="U91" s="68"/>
      <c r="V91" s="68"/>
      <c r="W91" s="68"/>
      <c r="X91" s="68"/>
      <c r="Y91" s="68"/>
      <c r="Z91" s="114"/>
      <c r="AA91" s="65"/>
      <c r="AB91" s="68"/>
      <c r="AC91" s="68"/>
      <c r="AD91" s="69"/>
      <c r="AE91" s="71"/>
      <c r="AF91" s="114"/>
    </row>
    <row r="92" spans="1:32" s="64" customFormat="1" ht="15" customHeight="1" x14ac:dyDescent="0.25">
      <c r="A92" s="108" t="e">
        <f>IF(UC_DADOS!$B$2=0,"",UC_DADOS!$B$2)</f>
        <v>#N/A</v>
      </c>
      <c r="B92" s="113"/>
      <c r="C92" s="65"/>
      <c r="D92" s="68"/>
      <c r="E92" s="68"/>
      <c r="F92" s="68"/>
      <c r="G92" s="68"/>
      <c r="H92" s="68"/>
      <c r="I92" s="314">
        <f t="shared" si="1"/>
        <v>0</v>
      </c>
      <c r="J92" s="68"/>
      <c r="K92" s="65"/>
      <c r="L92" s="68"/>
      <c r="M92" s="68"/>
      <c r="N92" s="68"/>
      <c r="O92" s="68"/>
      <c r="P92" s="118"/>
      <c r="Q92" s="68"/>
      <c r="R92" s="68"/>
      <c r="S92" s="68"/>
      <c r="T92" s="68"/>
      <c r="U92" s="68"/>
      <c r="V92" s="68"/>
      <c r="W92" s="68"/>
      <c r="X92" s="68"/>
      <c r="Y92" s="68"/>
      <c r="Z92" s="114"/>
      <c r="AA92" s="65"/>
      <c r="AB92" s="68"/>
      <c r="AC92" s="68"/>
      <c r="AD92" s="69"/>
      <c r="AE92" s="71"/>
      <c r="AF92" s="114"/>
    </row>
    <row r="93" spans="1:32" s="64" customFormat="1" ht="15" customHeight="1" x14ac:dyDescent="0.25">
      <c r="A93" s="108" t="e">
        <f>IF(UC_DADOS!$B$2=0,"",UC_DADOS!$B$2)</f>
        <v>#N/A</v>
      </c>
      <c r="B93" s="113"/>
      <c r="C93" s="65"/>
      <c r="D93" s="68"/>
      <c r="E93" s="68"/>
      <c r="F93" s="68"/>
      <c r="G93" s="68"/>
      <c r="H93" s="68"/>
      <c r="I93" s="314">
        <f t="shared" si="1"/>
        <v>0</v>
      </c>
      <c r="J93" s="68"/>
      <c r="K93" s="65"/>
      <c r="L93" s="68"/>
      <c r="M93" s="68"/>
      <c r="N93" s="68"/>
      <c r="O93" s="68"/>
      <c r="P93" s="118"/>
      <c r="Q93" s="68"/>
      <c r="R93" s="68"/>
      <c r="S93" s="68"/>
      <c r="T93" s="68"/>
      <c r="U93" s="68"/>
      <c r="V93" s="68"/>
      <c r="W93" s="68"/>
      <c r="X93" s="68"/>
      <c r="Y93" s="68"/>
      <c r="Z93" s="114"/>
      <c r="AA93" s="65"/>
      <c r="AB93" s="68"/>
      <c r="AC93" s="68"/>
      <c r="AD93" s="69"/>
      <c r="AE93" s="71"/>
      <c r="AF93" s="114"/>
    </row>
    <row r="94" spans="1:32" s="64" customFormat="1" ht="15" customHeight="1" x14ac:dyDescent="0.25">
      <c r="A94" s="108" t="e">
        <f>IF(UC_DADOS!$B$2=0,"",UC_DADOS!$B$2)</f>
        <v>#N/A</v>
      </c>
      <c r="B94" s="113"/>
      <c r="C94" s="65"/>
      <c r="D94" s="68"/>
      <c r="E94" s="68"/>
      <c r="F94" s="68"/>
      <c r="G94" s="68"/>
      <c r="H94" s="68"/>
      <c r="I94" s="314">
        <f t="shared" si="1"/>
        <v>0</v>
      </c>
      <c r="J94" s="68"/>
      <c r="K94" s="65"/>
      <c r="L94" s="68"/>
      <c r="M94" s="68"/>
      <c r="N94" s="68"/>
      <c r="O94" s="68"/>
      <c r="P94" s="118"/>
      <c r="Q94" s="68"/>
      <c r="R94" s="68"/>
      <c r="S94" s="68"/>
      <c r="T94" s="68"/>
      <c r="U94" s="68"/>
      <c r="V94" s="68"/>
      <c r="W94" s="68"/>
      <c r="X94" s="68"/>
      <c r="Y94" s="68"/>
      <c r="Z94" s="114"/>
      <c r="AA94" s="65"/>
      <c r="AB94" s="68"/>
      <c r="AC94" s="68"/>
      <c r="AD94" s="69"/>
      <c r="AE94" s="71"/>
      <c r="AF94" s="114"/>
    </row>
    <row r="95" spans="1:32" s="64" customFormat="1" ht="15" customHeight="1" x14ac:dyDescent="0.25">
      <c r="A95" s="108" t="e">
        <f>IF(UC_DADOS!$B$2=0,"",UC_DADOS!$B$2)</f>
        <v>#N/A</v>
      </c>
      <c r="B95" s="113"/>
      <c r="C95" s="65"/>
      <c r="D95" s="68"/>
      <c r="E95" s="68"/>
      <c r="F95" s="68"/>
      <c r="G95" s="68"/>
      <c r="H95" s="68"/>
      <c r="I95" s="314">
        <f t="shared" si="1"/>
        <v>0</v>
      </c>
      <c r="J95" s="68"/>
      <c r="K95" s="65"/>
      <c r="L95" s="68"/>
      <c r="M95" s="68"/>
      <c r="N95" s="68"/>
      <c r="O95" s="68"/>
      <c r="P95" s="118"/>
      <c r="Q95" s="68"/>
      <c r="R95" s="68"/>
      <c r="S95" s="68"/>
      <c r="T95" s="68"/>
      <c r="U95" s="68"/>
      <c r="V95" s="68"/>
      <c r="W95" s="68"/>
      <c r="X95" s="68"/>
      <c r="Y95" s="68"/>
      <c r="Z95" s="114"/>
      <c r="AA95" s="65"/>
      <c r="AB95" s="68"/>
      <c r="AC95" s="68"/>
      <c r="AD95" s="69"/>
      <c r="AE95" s="71"/>
      <c r="AF95" s="114"/>
    </row>
    <row r="96" spans="1:32" s="64" customFormat="1" ht="15" customHeight="1" x14ac:dyDescent="0.25">
      <c r="A96" s="108" t="e">
        <f>IF(UC_DADOS!$B$2=0,"",UC_DADOS!$B$2)</f>
        <v>#N/A</v>
      </c>
      <c r="B96" s="113"/>
      <c r="C96" s="65"/>
      <c r="D96" s="68"/>
      <c r="E96" s="68"/>
      <c r="F96" s="68"/>
      <c r="G96" s="68"/>
      <c r="H96" s="68"/>
      <c r="I96" s="314">
        <f t="shared" si="1"/>
        <v>0</v>
      </c>
      <c r="J96" s="68"/>
      <c r="K96" s="65"/>
      <c r="L96" s="68"/>
      <c r="M96" s="68"/>
      <c r="N96" s="68"/>
      <c r="O96" s="68"/>
      <c r="P96" s="118"/>
      <c r="Q96" s="68"/>
      <c r="R96" s="68"/>
      <c r="S96" s="68"/>
      <c r="T96" s="68"/>
      <c r="U96" s="68"/>
      <c r="V96" s="68"/>
      <c r="W96" s="68"/>
      <c r="X96" s="68"/>
      <c r="Y96" s="68"/>
      <c r="Z96" s="114"/>
      <c r="AA96" s="65"/>
      <c r="AB96" s="68"/>
      <c r="AC96" s="68"/>
      <c r="AD96" s="69"/>
      <c r="AE96" s="71"/>
      <c r="AF96" s="114"/>
    </row>
    <row r="97" spans="1:32" s="64" customFormat="1" ht="15" customHeight="1" x14ac:dyDescent="0.25">
      <c r="A97" s="108" t="e">
        <f>IF(UC_DADOS!$B$2=0,"",UC_DADOS!$B$2)</f>
        <v>#N/A</v>
      </c>
      <c r="B97" s="113"/>
      <c r="C97" s="65"/>
      <c r="D97" s="68"/>
      <c r="E97" s="68"/>
      <c r="F97" s="68"/>
      <c r="G97" s="68"/>
      <c r="H97" s="68"/>
      <c r="I97" s="314">
        <f t="shared" si="1"/>
        <v>0</v>
      </c>
      <c r="J97" s="68"/>
      <c r="K97" s="65"/>
      <c r="L97" s="68"/>
      <c r="M97" s="68"/>
      <c r="N97" s="68"/>
      <c r="O97" s="68"/>
      <c r="P97" s="118"/>
      <c r="Q97" s="68"/>
      <c r="R97" s="68"/>
      <c r="S97" s="68"/>
      <c r="T97" s="68"/>
      <c r="U97" s="68"/>
      <c r="V97" s="68"/>
      <c r="W97" s="68"/>
      <c r="X97" s="68"/>
      <c r="Y97" s="68"/>
      <c r="Z97" s="114"/>
      <c r="AA97" s="65"/>
      <c r="AB97" s="68"/>
      <c r="AC97" s="68"/>
      <c r="AD97" s="69"/>
      <c r="AE97" s="71"/>
      <c r="AF97" s="114"/>
    </row>
    <row r="98" spans="1:32" s="64" customFormat="1" ht="15" customHeight="1" x14ac:dyDescent="0.25">
      <c r="A98" s="108" t="e">
        <f>IF(UC_DADOS!$B$2=0,"",UC_DADOS!$B$2)</f>
        <v>#N/A</v>
      </c>
      <c r="B98" s="113"/>
      <c r="C98" s="65"/>
      <c r="D98" s="68"/>
      <c r="E98" s="68"/>
      <c r="F98" s="68"/>
      <c r="G98" s="68"/>
      <c r="H98" s="68"/>
      <c r="I98" s="314">
        <f t="shared" si="1"/>
        <v>0</v>
      </c>
      <c r="J98" s="68"/>
      <c r="K98" s="65"/>
      <c r="L98" s="68"/>
      <c r="M98" s="68"/>
      <c r="N98" s="68"/>
      <c r="O98" s="68"/>
      <c r="P98" s="118"/>
      <c r="Q98" s="68"/>
      <c r="R98" s="68"/>
      <c r="S98" s="68"/>
      <c r="T98" s="68"/>
      <c r="U98" s="68"/>
      <c r="V98" s="68"/>
      <c r="W98" s="68"/>
      <c r="X98" s="68"/>
      <c r="Y98" s="68"/>
      <c r="Z98" s="114"/>
      <c r="AA98" s="65"/>
      <c r="AB98" s="68"/>
      <c r="AC98" s="68"/>
      <c r="AD98" s="69"/>
      <c r="AE98" s="71"/>
      <c r="AF98" s="114"/>
    </row>
    <row r="99" spans="1:32" s="64" customFormat="1" ht="15" customHeight="1" x14ac:dyDescent="0.25">
      <c r="A99" s="108" t="e">
        <f>IF(UC_DADOS!$B$2=0,"",UC_DADOS!$B$2)</f>
        <v>#N/A</v>
      </c>
      <c r="B99" s="113"/>
      <c r="C99" s="65"/>
      <c r="D99" s="68"/>
      <c r="E99" s="68"/>
      <c r="F99" s="68"/>
      <c r="G99" s="68"/>
      <c r="H99" s="68"/>
      <c r="I99" s="314">
        <f t="shared" si="1"/>
        <v>0</v>
      </c>
      <c r="J99" s="68"/>
      <c r="K99" s="65"/>
      <c r="L99" s="68"/>
      <c r="M99" s="68"/>
      <c r="N99" s="68"/>
      <c r="O99" s="68"/>
      <c r="P99" s="118"/>
      <c r="Q99" s="68"/>
      <c r="R99" s="68"/>
      <c r="S99" s="68"/>
      <c r="T99" s="68"/>
      <c r="U99" s="68"/>
      <c r="V99" s="68"/>
      <c r="W99" s="68"/>
      <c r="X99" s="68"/>
      <c r="Y99" s="68"/>
      <c r="Z99" s="114"/>
      <c r="AA99" s="65"/>
      <c r="AB99" s="68"/>
      <c r="AC99" s="68"/>
      <c r="AD99" s="69"/>
      <c r="AE99" s="71"/>
      <c r="AF99" s="114"/>
    </row>
    <row r="100" spans="1:32" s="64" customFormat="1" ht="15" customHeight="1" x14ac:dyDescent="0.25">
      <c r="A100" s="108" t="e">
        <f>IF(UC_DADOS!$B$2=0,"",UC_DADOS!$B$2)</f>
        <v>#N/A</v>
      </c>
      <c r="B100" s="113"/>
      <c r="C100" s="65"/>
      <c r="D100" s="68"/>
      <c r="E100" s="68"/>
      <c r="F100" s="68"/>
      <c r="G100" s="68"/>
      <c r="H100" s="68"/>
      <c r="I100" s="314">
        <f t="shared" si="1"/>
        <v>0</v>
      </c>
      <c r="J100" s="68"/>
      <c r="K100" s="65"/>
      <c r="L100" s="68"/>
      <c r="M100" s="68"/>
      <c r="N100" s="68"/>
      <c r="O100" s="68"/>
      <c r="P100" s="118"/>
      <c r="Q100" s="68"/>
      <c r="R100" s="68"/>
      <c r="S100" s="68"/>
      <c r="T100" s="68"/>
      <c r="U100" s="68"/>
      <c r="V100" s="68"/>
      <c r="W100" s="68"/>
      <c r="X100" s="68"/>
      <c r="Y100" s="68"/>
      <c r="Z100" s="114"/>
      <c r="AA100" s="65"/>
      <c r="AB100" s="68"/>
      <c r="AC100" s="68"/>
      <c r="AD100" s="69"/>
      <c r="AE100" s="71"/>
      <c r="AF100" s="114"/>
    </row>
  </sheetData>
  <mergeCells count="6">
    <mergeCell ref="A1:B1"/>
    <mergeCell ref="AD1:AF1"/>
    <mergeCell ref="K1:P1"/>
    <mergeCell ref="AA1:AC1"/>
    <mergeCell ref="C1:J1"/>
    <mergeCell ref="Q1:Z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0"/>
  <sheetViews>
    <sheetView zoomScale="90" zoomScaleNormal="90" workbookViewId="0">
      <selection activeCell="J29" sqref="J29"/>
    </sheetView>
  </sheetViews>
  <sheetFormatPr defaultColWidth="8.85546875" defaultRowHeight="15" x14ac:dyDescent="0.25"/>
  <cols>
    <col min="1" max="1" width="19" style="53" customWidth="1"/>
    <col min="2" max="2" width="26.5703125" style="53" customWidth="1"/>
    <col min="3" max="12" width="20.42578125" style="53" customWidth="1"/>
    <col min="13" max="18" width="18.42578125" style="53" customWidth="1"/>
    <col min="19" max="19" width="8.85546875" style="53" customWidth="1"/>
    <col min="20" max="16384" width="8.85546875" style="53"/>
  </cols>
  <sheetData>
    <row r="1" spans="1:18" ht="22.5" customHeight="1" x14ac:dyDescent="0.25">
      <c r="A1" s="476" t="s">
        <v>555</v>
      </c>
      <c r="B1" s="477"/>
      <c r="C1" s="475" t="s">
        <v>523</v>
      </c>
      <c r="D1" s="474"/>
      <c r="E1" s="474"/>
      <c r="F1" s="474"/>
      <c r="G1" s="474"/>
      <c r="H1" s="474"/>
      <c r="I1" s="474"/>
      <c r="J1" s="474"/>
      <c r="K1" s="474"/>
      <c r="L1" s="474"/>
      <c r="M1" s="510" t="s">
        <v>524</v>
      </c>
      <c r="N1" s="461"/>
      <c r="O1" s="461"/>
      <c r="P1" s="461"/>
      <c r="Q1" s="461"/>
      <c r="R1" s="461"/>
    </row>
    <row r="2" spans="1:18" s="64" customFormat="1" ht="81.75" customHeight="1" x14ac:dyDescent="0.25">
      <c r="A2" s="55" t="s">
        <v>527</v>
      </c>
      <c r="B2" s="56" t="s">
        <v>530</v>
      </c>
      <c r="C2" s="121" t="s">
        <v>531</v>
      </c>
      <c r="D2" s="122" t="s">
        <v>787</v>
      </c>
      <c r="E2" s="60" t="s">
        <v>535</v>
      </c>
      <c r="F2" s="60" t="s">
        <v>788</v>
      </c>
      <c r="G2" s="106" t="s">
        <v>539</v>
      </c>
      <c r="H2" s="106" t="s">
        <v>789</v>
      </c>
      <c r="I2" s="106" t="s">
        <v>540</v>
      </c>
      <c r="J2" s="106" t="s">
        <v>790</v>
      </c>
      <c r="K2" s="106" t="s">
        <v>791</v>
      </c>
      <c r="L2" s="106" t="s">
        <v>792</v>
      </c>
      <c r="M2" s="61" t="s">
        <v>793</v>
      </c>
      <c r="N2" s="123" t="s">
        <v>794</v>
      </c>
      <c r="O2" s="123" t="s">
        <v>795</v>
      </c>
      <c r="P2" s="123" t="s">
        <v>796</v>
      </c>
      <c r="Q2" s="123" t="s">
        <v>797</v>
      </c>
      <c r="R2" s="124" t="s">
        <v>553</v>
      </c>
    </row>
    <row r="3" spans="1:18" s="64" customFormat="1" ht="15" customHeight="1" x14ac:dyDescent="0.25">
      <c r="A3" s="108" t="e">
        <f>IF(UC_DADOS!$B$2=0,"",UC_DADOS!$B$2)</f>
        <v>#N/A</v>
      </c>
      <c r="B3" s="112"/>
      <c r="C3" s="125"/>
      <c r="D3" s="66"/>
      <c r="E3" s="66"/>
      <c r="F3" s="67"/>
      <c r="G3" s="68"/>
      <c r="H3" s="66"/>
      <c r="I3" s="66"/>
      <c r="J3" s="66"/>
      <c r="K3" s="66"/>
      <c r="L3" s="126"/>
      <c r="M3" s="127"/>
      <c r="N3" s="128"/>
      <c r="O3" s="129"/>
      <c r="P3" s="129"/>
      <c r="Q3" s="129"/>
      <c r="R3" s="111"/>
    </row>
    <row r="4" spans="1:18" s="64" customFormat="1" ht="15" customHeight="1" x14ac:dyDescent="0.25">
      <c r="A4" s="108" t="e">
        <f>IF(UC_DADOS!$B$2=0,"",UC_DADOS!$B$2)</f>
        <v>#N/A</v>
      </c>
      <c r="B4" s="113"/>
      <c r="C4" s="130"/>
      <c r="D4" s="131"/>
      <c r="E4" s="66"/>
      <c r="F4" s="131"/>
      <c r="G4" s="131"/>
      <c r="H4" s="131"/>
      <c r="I4" s="131"/>
      <c r="J4" s="66"/>
      <c r="K4" s="66"/>
      <c r="L4" s="132"/>
      <c r="M4" s="133"/>
      <c r="N4" s="134"/>
      <c r="O4" s="134"/>
      <c r="P4" s="134"/>
      <c r="Q4" s="134"/>
      <c r="R4" s="135"/>
    </row>
    <row r="5" spans="1:18" s="64" customFormat="1" ht="15" customHeight="1" x14ac:dyDescent="0.25">
      <c r="A5" s="108" t="e">
        <f>IF(UC_DADOS!$B$2=0,"",UC_DADOS!$B$2)</f>
        <v>#N/A</v>
      </c>
      <c r="B5" s="113"/>
      <c r="C5" s="130"/>
      <c r="D5" s="131"/>
      <c r="E5" s="66"/>
      <c r="F5" s="131"/>
      <c r="G5" s="131"/>
      <c r="H5" s="131"/>
      <c r="I5" s="131"/>
      <c r="J5" s="66"/>
      <c r="K5" s="66"/>
      <c r="L5" s="132"/>
      <c r="M5" s="133"/>
      <c r="N5" s="134"/>
      <c r="O5" s="134"/>
      <c r="P5" s="134"/>
      <c r="Q5" s="134"/>
      <c r="R5" s="135"/>
    </row>
    <row r="6" spans="1:18" s="64" customFormat="1" ht="15" customHeight="1" x14ac:dyDescent="0.25">
      <c r="A6" s="108" t="e">
        <f>IF(UC_DADOS!$B$2=0,"",UC_DADOS!$B$2)</f>
        <v>#N/A</v>
      </c>
      <c r="B6" s="113"/>
      <c r="C6" s="130"/>
      <c r="D6" s="131"/>
      <c r="E6" s="66"/>
      <c r="F6" s="131"/>
      <c r="G6" s="131"/>
      <c r="H6" s="131"/>
      <c r="I6" s="131"/>
      <c r="J6" s="66"/>
      <c r="K6" s="66"/>
      <c r="L6" s="132"/>
      <c r="M6" s="133"/>
      <c r="N6" s="134"/>
      <c r="O6" s="134"/>
      <c r="P6" s="134"/>
      <c r="Q6" s="134"/>
      <c r="R6" s="135"/>
    </row>
    <row r="7" spans="1:18" s="64" customFormat="1" ht="15" customHeight="1" x14ac:dyDescent="0.25">
      <c r="A7" s="108" t="e">
        <f>IF(UC_DADOS!$B$2=0,"",UC_DADOS!$B$2)</f>
        <v>#N/A</v>
      </c>
      <c r="B7" s="113"/>
      <c r="C7" s="130"/>
      <c r="D7" s="131"/>
      <c r="E7" s="66"/>
      <c r="F7" s="131"/>
      <c r="G7" s="131"/>
      <c r="H7" s="131"/>
      <c r="I7" s="131"/>
      <c r="J7" s="66"/>
      <c r="K7" s="66"/>
      <c r="L7" s="132"/>
      <c r="M7" s="133"/>
      <c r="N7" s="134"/>
      <c r="O7" s="134"/>
      <c r="P7" s="134"/>
      <c r="Q7" s="134"/>
      <c r="R7" s="135"/>
    </row>
    <row r="8" spans="1:18" s="64" customFormat="1" ht="15" customHeight="1" x14ac:dyDescent="0.25">
      <c r="A8" s="108" t="e">
        <f>IF(UC_DADOS!$B$2=0,"",UC_DADOS!$B$2)</f>
        <v>#N/A</v>
      </c>
      <c r="B8" s="113"/>
      <c r="C8" s="130"/>
      <c r="D8" s="131"/>
      <c r="E8" s="66"/>
      <c r="F8" s="131"/>
      <c r="G8" s="131"/>
      <c r="H8" s="131"/>
      <c r="I8" s="131"/>
      <c r="J8" s="66"/>
      <c r="K8" s="66"/>
      <c r="L8" s="132"/>
      <c r="M8" s="133"/>
      <c r="N8" s="134"/>
      <c r="O8" s="134"/>
      <c r="P8" s="134"/>
      <c r="Q8" s="134"/>
      <c r="R8" s="135"/>
    </row>
    <row r="9" spans="1:18" s="64" customFormat="1" ht="15" customHeight="1" x14ac:dyDescent="0.25">
      <c r="A9" s="108" t="e">
        <f>IF(UC_DADOS!$B$2=0,"",UC_DADOS!$B$2)</f>
        <v>#N/A</v>
      </c>
      <c r="B9" s="113"/>
      <c r="C9" s="130"/>
      <c r="D9" s="131"/>
      <c r="E9" s="66"/>
      <c r="F9" s="131"/>
      <c r="G9" s="131"/>
      <c r="H9" s="131"/>
      <c r="I9" s="131"/>
      <c r="J9" s="66"/>
      <c r="K9" s="66"/>
      <c r="L9" s="132"/>
      <c r="M9" s="133"/>
      <c r="N9" s="134"/>
      <c r="O9" s="134"/>
      <c r="P9" s="134"/>
      <c r="Q9" s="134"/>
      <c r="R9" s="135"/>
    </row>
    <row r="10" spans="1:18" s="64" customFormat="1" ht="15" customHeight="1" x14ac:dyDescent="0.25">
      <c r="A10" s="108" t="e">
        <f>IF(UC_DADOS!$B$2=0,"",UC_DADOS!$B$2)</f>
        <v>#N/A</v>
      </c>
      <c r="B10" s="113"/>
      <c r="C10" s="130"/>
      <c r="D10" s="131"/>
      <c r="E10" s="66"/>
      <c r="F10" s="131"/>
      <c r="G10" s="131"/>
      <c r="H10" s="131"/>
      <c r="I10" s="131"/>
      <c r="J10" s="66"/>
      <c r="K10" s="66"/>
      <c r="L10" s="132"/>
      <c r="M10" s="133"/>
      <c r="N10" s="134"/>
      <c r="O10" s="134"/>
      <c r="P10" s="134"/>
      <c r="Q10" s="134"/>
      <c r="R10" s="135"/>
    </row>
    <row r="11" spans="1:18" s="64" customFormat="1" ht="15" customHeight="1" x14ac:dyDescent="0.25">
      <c r="A11" s="108" t="e">
        <f>IF(UC_DADOS!$B$2=0,"",UC_DADOS!$B$2)</f>
        <v>#N/A</v>
      </c>
      <c r="B11" s="113"/>
      <c r="C11" s="130"/>
      <c r="D11" s="131"/>
      <c r="E11" s="66"/>
      <c r="F11" s="131"/>
      <c r="G11" s="131"/>
      <c r="H11" s="131"/>
      <c r="I11" s="131"/>
      <c r="J11" s="66"/>
      <c r="K11" s="66"/>
      <c r="L11" s="132"/>
      <c r="M11" s="133"/>
      <c r="N11" s="134"/>
      <c r="O11" s="134"/>
      <c r="P11" s="134"/>
      <c r="Q11" s="134"/>
      <c r="R11" s="135"/>
    </row>
    <row r="12" spans="1:18" s="64" customFormat="1" ht="15" customHeight="1" x14ac:dyDescent="0.25">
      <c r="A12" s="108" t="e">
        <f>IF(UC_DADOS!$B$2=0,"",UC_DADOS!$B$2)</f>
        <v>#N/A</v>
      </c>
      <c r="B12" s="113"/>
      <c r="C12" s="130"/>
      <c r="D12" s="131"/>
      <c r="E12" s="66"/>
      <c r="F12" s="131"/>
      <c r="G12" s="131"/>
      <c r="H12" s="131"/>
      <c r="I12" s="131"/>
      <c r="J12" s="66"/>
      <c r="K12" s="66"/>
      <c r="L12" s="132"/>
      <c r="M12" s="133"/>
      <c r="N12" s="134"/>
      <c r="O12" s="134"/>
      <c r="P12" s="134"/>
      <c r="Q12" s="134"/>
      <c r="R12" s="135"/>
    </row>
    <row r="13" spans="1:18" s="64" customFormat="1" ht="15" customHeight="1" x14ac:dyDescent="0.25">
      <c r="A13" s="108" t="e">
        <f>IF(UC_DADOS!$B$2=0,"",UC_DADOS!$B$2)</f>
        <v>#N/A</v>
      </c>
      <c r="B13" s="113"/>
      <c r="C13" s="130"/>
      <c r="D13" s="131"/>
      <c r="E13" s="66"/>
      <c r="F13" s="131"/>
      <c r="G13" s="131"/>
      <c r="H13" s="131"/>
      <c r="I13" s="131"/>
      <c r="J13" s="66"/>
      <c r="K13" s="66"/>
      <c r="L13" s="132"/>
      <c r="M13" s="133"/>
      <c r="N13" s="134"/>
      <c r="O13" s="134"/>
      <c r="P13" s="134"/>
      <c r="Q13" s="134"/>
      <c r="R13" s="135"/>
    </row>
    <row r="14" spans="1:18" s="64" customFormat="1" ht="15" customHeight="1" x14ac:dyDescent="0.25">
      <c r="A14" s="108" t="e">
        <f>IF(UC_DADOS!$B$2=0,"",UC_DADOS!$B$2)</f>
        <v>#N/A</v>
      </c>
      <c r="B14" s="113"/>
      <c r="C14" s="130"/>
      <c r="D14" s="131"/>
      <c r="E14" s="66"/>
      <c r="F14" s="131"/>
      <c r="G14" s="131"/>
      <c r="H14" s="131"/>
      <c r="I14" s="131"/>
      <c r="J14" s="66"/>
      <c r="K14" s="66"/>
      <c r="L14" s="132"/>
      <c r="M14" s="133"/>
      <c r="N14" s="134"/>
      <c r="O14" s="134"/>
      <c r="P14" s="134"/>
      <c r="Q14" s="134"/>
      <c r="R14" s="135"/>
    </row>
    <row r="15" spans="1:18" s="64" customFormat="1" ht="15" customHeight="1" x14ac:dyDescent="0.25">
      <c r="A15" s="108" t="e">
        <f>IF(UC_DADOS!$B$2=0,"",UC_DADOS!$B$2)</f>
        <v>#N/A</v>
      </c>
      <c r="B15" s="113"/>
      <c r="C15" s="130"/>
      <c r="D15" s="131"/>
      <c r="E15" s="66"/>
      <c r="F15" s="131"/>
      <c r="G15" s="131"/>
      <c r="H15" s="131"/>
      <c r="I15" s="131"/>
      <c r="J15" s="66"/>
      <c r="K15" s="66"/>
      <c r="L15" s="132"/>
      <c r="M15" s="133"/>
      <c r="N15" s="134"/>
      <c r="O15" s="134"/>
      <c r="P15" s="134"/>
      <c r="Q15" s="134"/>
      <c r="R15" s="135"/>
    </row>
    <row r="16" spans="1:18" s="64" customFormat="1" ht="15" customHeight="1" x14ac:dyDescent="0.25">
      <c r="A16" s="108" t="e">
        <f>IF(UC_DADOS!$B$2=0,"",UC_DADOS!$B$2)</f>
        <v>#N/A</v>
      </c>
      <c r="B16" s="113"/>
      <c r="C16" s="130"/>
      <c r="D16" s="131"/>
      <c r="E16" s="66"/>
      <c r="F16" s="131"/>
      <c r="G16" s="131"/>
      <c r="H16" s="131"/>
      <c r="I16" s="131"/>
      <c r="J16" s="66"/>
      <c r="K16" s="66"/>
      <c r="L16" s="132"/>
      <c r="M16" s="133"/>
      <c r="N16" s="134"/>
      <c r="O16" s="134"/>
      <c r="P16" s="134"/>
      <c r="Q16" s="134"/>
      <c r="R16" s="135"/>
    </row>
    <row r="17" spans="1:18" s="64" customFormat="1" ht="15" customHeight="1" x14ac:dyDescent="0.25">
      <c r="A17" s="108" t="e">
        <f>IF(UC_DADOS!$B$2=0,"",UC_DADOS!$B$2)</f>
        <v>#N/A</v>
      </c>
      <c r="B17" s="113"/>
      <c r="C17" s="130"/>
      <c r="D17" s="131"/>
      <c r="E17" s="66"/>
      <c r="F17" s="131"/>
      <c r="G17" s="131"/>
      <c r="H17" s="131"/>
      <c r="I17" s="131"/>
      <c r="J17" s="66"/>
      <c r="K17" s="66"/>
      <c r="L17" s="132"/>
      <c r="M17" s="133"/>
      <c r="N17" s="134"/>
      <c r="O17" s="134"/>
      <c r="P17" s="134"/>
      <c r="Q17" s="134"/>
      <c r="R17" s="135"/>
    </row>
    <row r="18" spans="1:18" s="64" customFormat="1" ht="15" customHeight="1" x14ac:dyDescent="0.25">
      <c r="A18" s="108" t="e">
        <f>IF(UC_DADOS!$B$2=0,"",UC_DADOS!$B$2)</f>
        <v>#N/A</v>
      </c>
      <c r="B18" s="113"/>
      <c r="C18" s="130"/>
      <c r="D18" s="131"/>
      <c r="E18" s="66"/>
      <c r="F18" s="131"/>
      <c r="G18" s="131"/>
      <c r="H18" s="131"/>
      <c r="I18" s="131"/>
      <c r="J18" s="66"/>
      <c r="K18" s="66"/>
      <c r="L18" s="132"/>
      <c r="M18" s="133"/>
      <c r="N18" s="134"/>
      <c r="O18" s="134"/>
      <c r="P18" s="134"/>
      <c r="Q18" s="134"/>
      <c r="R18" s="135"/>
    </row>
    <row r="19" spans="1:18" s="64" customFormat="1" ht="15" customHeight="1" x14ac:dyDescent="0.25">
      <c r="A19" s="108" t="e">
        <f>IF(UC_DADOS!$B$2=0,"",UC_DADOS!$B$2)</f>
        <v>#N/A</v>
      </c>
      <c r="B19" s="113"/>
      <c r="C19" s="130"/>
      <c r="D19" s="131"/>
      <c r="E19" s="66"/>
      <c r="F19" s="131"/>
      <c r="G19" s="131"/>
      <c r="H19" s="131"/>
      <c r="I19" s="131"/>
      <c r="J19" s="66"/>
      <c r="K19" s="66"/>
      <c r="L19" s="132"/>
      <c r="M19" s="133"/>
      <c r="N19" s="134"/>
      <c r="O19" s="134"/>
      <c r="P19" s="134"/>
      <c r="Q19" s="134"/>
      <c r="R19" s="135"/>
    </row>
    <row r="20" spans="1:18" s="64" customFormat="1" ht="15" customHeight="1" x14ac:dyDescent="0.25">
      <c r="A20" s="108" t="e">
        <f>IF(UC_DADOS!$B$2=0,"",UC_DADOS!$B$2)</f>
        <v>#N/A</v>
      </c>
      <c r="B20" s="113"/>
      <c r="C20" s="130"/>
      <c r="D20" s="131"/>
      <c r="E20" s="66"/>
      <c r="F20" s="131"/>
      <c r="G20" s="131"/>
      <c r="H20" s="131"/>
      <c r="I20" s="131"/>
      <c r="J20" s="66"/>
      <c r="K20" s="66"/>
      <c r="L20" s="132"/>
      <c r="M20" s="133"/>
      <c r="N20" s="134"/>
      <c r="O20" s="134"/>
      <c r="P20" s="134"/>
      <c r="Q20" s="134"/>
      <c r="R20" s="135"/>
    </row>
    <row r="21" spans="1:18" s="64" customFormat="1" ht="15" customHeight="1" x14ac:dyDescent="0.25">
      <c r="A21" s="108" t="e">
        <f>IF(UC_DADOS!$B$2=0,"",UC_DADOS!$B$2)</f>
        <v>#N/A</v>
      </c>
      <c r="B21" s="113"/>
      <c r="C21" s="130"/>
      <c r="D21" s="131"/>
      <c r="E21" s="66"/>
      <c r="F21" s="131"/>
      <c r="G21" s="131"/>
      <c r="H21" s="131"/>
      <c r="I21" s="131"/>
      <c r="J21" s="66"/>
      <c r="K21" s="66"/>
      <c r="L21" s="132"/>
      <c r="M21" s="133"/>
      <c r="N21" s="134"/>
      <c r="O21" s="134"/>
      <c r="P21" s="134"/>
      <c r="Q21" s="134"/>
      <c r="R21" s="135"/>
    </row>
    <row r="22" spans="1:18" s="64" customFormat="1" ht="15" customHeight="1" x14ac:dyDescent="0.25">
      <c r="A22" s="108" t="e">
        <f>IF(UC_DADOS!$B$2=0,"",UC_DADOS!$B$2)</f>
        <v>#N/A</v>
      </c>
      <c r="B22" s="113"/>
      <c r="C22" s="130"/>
      <c r="D22" s="131"/>
      <c r="E22" s="66"/>
      <c r="F22" s="131"/>
      <c r="G22" s="131"/>
      <c r="H22" s="131"/>
      <c r="I22" s="131"/>
      <c r="J22" s="66"/>
      <c r="K22" s="66"/>
      <c r="L22" s="132"/>
      <c r="M22" s="133"/>
      <c r="N22" s="134"/>
      <c r="O22" s="134"/>
      <c r="P22" s="134"/>
      <c r="Q22" s="134"/>
      <c r="R22" s="135"/>
    </row>
    <row r="23" spans="1:18" s="64" customFormat="1" ht="15" customHeight="1" x14ac:dyDescent="0.25">
      <c r="A23" s="108" t="e">
        <f>IF(UC_DADOS!$B$2=0,"",UC_DADOS!$B$2)</f>
        <v>#N/A</v>
      </c>
      <c r="B23" s="113"/>
      <c r="C23" s="130"/>
      <c r="D23" s="131"/>
      <c r="E23" s="66"/>
      <c r="F23" s="131"/>
      <c r="G23" s="131"/>
      <c r="H23" s="131"/>
      <c r="I23" s="131"/>
      <c r="J23" s="66"/>
      <c r="K23" s="66"/>
      <c r="L23" s="132"/>
      <c r="M23" s="133"/>
      <c r="N23" s="134"/>
      <c r="O23" s="134"/>
      <c r="P23" s="134"/>
      <c r="Q23" s="134"/>
      <c r="R23" s="135"/>
    </row>
    <row r="24" spans="1:18" s="64" customFormat="1" ht="15" customHeight="1" x14ac:dyDescent="0.25">
      <c r="A24" s="108" t="e">
        <f>IF(UC_DADOS!$B$2=0,"",UC_DADOS!$B$2)</f>
        <v>#N/A</v>
      </c>
      <c r="B24" s="113"/>
      <c r="C24" s="130"/>
      <c r="D24" s="131"/>
      <c r="E24" s="66"/>
      <c r="F24" s="131"/>
      <c r="G24" s="131"/>
      <c r="H24" s="131"/>
      <c r="I24" s="131"/>
      <c r="J24" s="66"/>
      <c r="K24" s="66"/>
      <c r="L24" s="132"/>
      <c r="M24" s="133"/>
      <c r="N24" s="134"/>
      <c r="O24" s="134"/>
      <c r="P24" s="134"/>
      <c r="Q24" s="134"/>
      <c r="R24" s="135"/>
    </row>
    <row r="25" spans="1:18" s="64" customFormat="1" ht="15" customHeight="1" x14ac:dyDescent="0.25">
      <c r="A25" s="108" t="e">
        <f>IF(UC_DADOS!$B$2=0,"",UC_DADOS!$B$2)</f>
        <v>#N/A</v>
      </c>
      <c r="B25" s="113"/>
      <c r="C25" s="130"/>
      <c r="D25" s="131"/>
      <c r="E25" s="66"/>
      <c r="F25" s="131"/>
      <c r="G25" s="131"/>
      <c r="H25" s="131"/>
      <c r="I25" s="131"/>
      <c r="J25" s="66"/>
      <c r="K25" s="66"/>
      <c r="L25" s="132"/>
      <c r="M25" s="133"/>
      <c r="N25" s="134"/>
      <c r="O25" s="134"/>
      <c r="P25" s="134"/>
      <c r="Q25" s="134"/>
      <c r="R25" s="135"/>
    </row>
    <row r="26" spans="1:18" s="64" customFormat="1" ht="15" customHeight="1" x14ac:dyDescent="0.25">
      <c r="A26" s="108" t="e">
        <f>IF(UC_DADOS!$B$2=0,"",UC_DADOS!$B$2)</f>
        <v>#N/A</v>
      </c>
      <c r="B26" s="113"/>
      <c r="C26" s="130"/>
      <c r="D26" s="131"/>
      <c r="E26" s="66"/>
      <c r="F26" s="131"/>
      <c r="G26" s="131"/>
      <c r="H26" s="131"/>
      <c r="I26" s="131"/>
      <c r="J26" s="66"/>
      <c r="K26" s="66"/>
      <c r="L26" s="132"/>
      <c r="M26" s="133"/>
      <c r="N26" s="134"/>
      <c r="O26" s="134"/>
      <c r="P26" s="134"/>
      <c r="Q26" s="134"/>
      <c r="R26" s="135"/>
    </row>
    <row r="27" spans="1:18" s="64" customFormat="1" ht="15" customHeight="1" x14ac:dyDescent="0.25">
      <c r="A27" s="108" t="e">
        <f>IF(UC_DADOS!$B$2=0,"",UC_DADOS!$B$2)</f>
        <v>#N/A</v>
      </c>
      <c r="B27" s="113"/>
      <c r="C27" s="130"/>
      <c r="D27" s="131"/>
      <c r="E27" s="66"/>
      <c r="F27" s="131"/>
      <c r="G27" s="131"/>
      <c r="H27" s="131"/>
      <c r="I27" s="131"/>
      <c r="J27" s="66"/>
      <c r="K27" s="66"/>
      <c r="L27" s="132"/>
      <c r="M27" s="133"/>
      <c r="N27" s="134"/>
      <c r="O27" s="134"/>
      <c r="P27" s="134"/>
      <c r="Q27" s="134"/>
      <c r="R27" s="135"/>
    </row>
    <row r="28" spans="1:18" s="64" customFormat="1" ht="15" customHeight="1" x14ac:dyDescent="0.25">
      <c r="A28" s="108" t="e">
        <f>IF(UC_DADOS!$B$2=0,"",UC_DADOS!$B$2)</f>
        <v>#N/A</v>
      </c>
      <c r="B28" s="113"/>
      <c r="C28" s="130"/>
      <c r="D28" s="131"/>
      <c r="E28" s="66"/>
      <c r="F28" s="131"/>
      <c r="G28" s="131"/>
      <c r="H28" s="131"/>
      <c r="I28" s="131"/>
      <c r="J28" s="66"/>
      <c r="K28" s="66"/>
      <c r="L28" s="132"/>
      <c r="M28" s="133"/>
      <c r="N28" s="134"/>
      <c r="O28" s="134"/>
      <c r="P28" s="134"/>
      <c r="Q28" s="134"/>
      <c r="R28" s="135"/>
    </row>
    <row r="29" spans="1:18" s="64" customFormat="1" ht="15" customHeight="1" x14ac:dyDescent="0.25">
      <c r="A29" s="108" t="e">
        <f>IF(UC_DADOS!$B$2=0,"",UC_DADOS!$B$2)</f>
        <v>#N/A</v>
      </c>
      <c r="B29" s="113"/>
      <c r="C29" s="130"/>
      <c r="D29" s="131"/>
      <c r="E29" s="66"/>
      <c r="F29" s="131"/>
      <c r="G29" s="131"/>
      <c r="H29" s="131"/>
      <c r="I29" s="131"/>
      <c r="J29" s="66"/>
      <c r="K29" s="66"/>
      <c r="L29" s="132"/>
      <c r="M29" s="133"/>
      <c r="N29" s="134"/>
      <c r="O29" s="134"/>
      <c r="P29" s="134"/>
      <c r="Q29" s="134"/>
      <c r="R29" s="135"/>
    </row>
    <row r="30" spans="1:18" s="64" customFormat="1" ht="15" customHeight="1" x14ac:dyDescent="0.25">
      <c r="A30" s="108" t="e">
        <f>IF(UC_DADOS!$B$2=0,"",UC_DADOS!$B$2)</f>
        <v>#N/A</v>
      </c>
      <c r="B30" s="113"/>
      <c r="C30" s="130"/>
      <c r="D30" s="131"/>
      <c r="E30" s="66"/>
      <c r="F30" s="131"/>
      <c r="G30" s="131"/>
      <c r="H30" s="131"/>
      <c r="I30" s="131"/>
      <c r="J30" s="66"/>
      <c r="K30" s="66"/>
      <c r="L30" s="132"/>
      <c r="M30" s="133"/>
      <c r="N30" s="134"/>
      <c r="O30" s="134"/>
      <c r="P30" s="134"/>
      <c r="Q30" s="134"/>
      <c r="R30" s="135"/>
    </row>
    <row r="31" spans="1:18" s="64" customFormat="1" ht="15" customHeight="1" x14ac:dyDescent="0.25">
      <c r="A31" s="108" t="e">
        <f>IF(UC_DADOS!$B$2=0,"",UC_DADOS!$B$2)</f>
        <v>#N/A</v>
      </c>
      <c r="B31" s="113"/>
      <c r="C31" s="130"/>
      <c r="D31" s="131"/>
      <c r="E31" s="66"/>
      <c r="F31" s="131"/>
      <c r="G31" s="131"/>
      <c r="H31" s="131"/>
      <c r="I31" s="131"/>
      <c r="J31" s="66"/>
      <c r="K31" s="66"/>
      <c r="L31" s="132"/>
      <c r="M31" s="133"/>
      <c r="N31" s="134"/>
      <c r="O31" s="134"/>
      <c r="P31" s="134"/>
      <c r="Q31" s="134"/>
      <c r="R31" s="135"/>
    </row>
    <row r="32" spans="1:18" s="64" customFormat="1" ht="15" customHeight="1" x14ac:dyDescent="0.25">
      <c r="A32" s="108" t="e">
        <f>IF(UC_DADOS!$B$2=0,"",UC_DADOS!$B$2)</f>
        <v>#N/A</v>
      </c>
      <c r="B32" s="113"/>
      <c r="C32" s="130"/>
      <c r="D32" s="131"/>
      <c r="E32" s="66"/>
      <c r="F32" s="131"/>
      <c r="G32" s="131"/>
      <c r="H32" s="131"/>
      <c r="I32" s="131"/>
      <c r="J32" s="66"/>
      <c r="K32" s="66"/>
      <c r="L32" s="132"/>
      <c r="M32" s="133"/>
      <c r="N32" s="134"/>
      <c r="O32" s="134"/>
      <c r="P32" s="134"/>
      <c r="Q32" s="134"/>
      <c r="R32" s="135"/>
    </row>
    <row r="33" spans="1:18" s="64" customFormat="1" ht="15" customHeight="1" x14ac:dyDescent="0.25">
      <c r="A33" s="108" t="e">
        <f>IF(UC_DADOS!$B$2=0,"",UC_DADOS!$B$2)</f>
        <v>#N/A</v>
      </c>
      <c r="B33" s="113"/>
      <c r="C33" s="130"/>
      <c r="D33" s="131"/>
      <c r="E33" s="66"/>
      <c r="F33" s="131"/>
      <c r="G33" s="131"/>
      <c r="H33" s="131"/>
      <c r="I33" s="131"/>
      <c r="J33" s="66"/>
      <c r="K33" s="66"/>
      <c r="L33" s="132"/>
      <c r="M33" s="133"/>
      <c r="N33" s="134"/>
      <c r="O33" s="134"/>
      <c r="P33" s="134"/>
      <c r="Q33" s="134"/>
      <c r="R33" s="135"/>
    </row>
    <row r="34" spans="1:18" s="64" customFormat="1" ht="15" customHeight="1" x14ac:dyDescent="0.25">
      <c r="A34" s="108" t="e">
        <f>IF(UC_DADOS!$B$2=0,"",UC_DADOS!$B$2)</f>
        <v>#N/A</v>
      </c>
      <c r="B34" s="113"/>
      <c r="C34" s="130"/>
      <c r="D34" s="131"/>
      <c r="E34" s="66"/>
      <c r="F34" s="131"/>
      <c r="G34" s="131"/>
      <c r="H34" s="131"/>
      <c r="I34" s="131"/>
      <c r="J34" s="66"/>
      <c r="K34" s="66"/>
      <c r="L34" s="132"/>
      <c r="M34" s="133"/>
      <c r="N34" s="134"/>
      <c r="O34" s="134"/>
      <c r="P34" s="134"/>
      <c r="Q34" s="134"/>
      <c r="R34" s="135"/>
    </row>
    <row r="35" spans="1:18" s="64" customFormat="1" ht="15" customHeight="1" x14ac:dyDescent="0.25">
      <c r="A35" s="108" t="e">
        <f>IF(UC_DADOS!$B$2=0,"",UC_DADOS!$B$2)</f>
        <v>#N/A</v>
      </c>
      <c r="B35" s="113"/>
      <c r="C35" s="130"/>
      <c r="D35" s="131"/>
      <c r="E35" s="66"/>
      <c r="F35" s="131"/>
      <c r="G35" s="131"/>
      <c r="H35" s="131"/>
      <c r="I35" s="131"/>
      <c r="J35" s="66"/>
      <c r="K35" s="66"/>
      <c r="L35" s="132"/>
      <c r="M35" s="133"/>
      <c r="N35" s="134"/>
      <c r="O35" s="134"/>
      <c r="P35" s="134"/>
      <c r="Q35" s="134"/>
      <c r="R35" s="135"/>
    </row>
    <row r="36" spans="1:18" s="64" customFormat="1" ht="15" customHeight="1" x14ac:dyDescent="0.25">
      <c r="A36" s="108" t="e">
        <f>IF(UC_DADOS!$B$2=0,"",UC_DADOS!$B$2)</f>
        <v>#N/A</v>
      </c>
      <c r="B36" s="113"/>
      <c r="C36" s="130"/>
      <c r="D36" s="131"/>
      <c r="E36" s="66"/>
      <c r="F36" s="131"/>
      <c r="G36" s="131"/>
      <c r="H36" s="131"/>
      <c r="I36" s="131"/>
      <c r="J36" s="66"/>
      <c r="K36" s="66"/>
      <c r="L36" s="132"/>
      <c r="M36" s="133"/>
      <c r="N36" s="134"/>
      <c r="O36" s="134"/>
      <c r="P36" s="134"/>
      <c r="Q36" s="134"/>
      <c r="R36" s="135"/>
    </row>
    <row r="37" spans="1:18" s="64" customFormat="1" ht="15" customHeight="1" x14ac:dyDescent="0.25">
      <c r="A37" s="108" t="e">
        <f>IF(UC_DADOS!$B$2=0,"",UC_DADOS!$B$2)</f>
        <v>#N/A</v>
      </c>
      <c r="B37" s="113"/>
      <c r="C37" s="130"/>
      <c r="D37" s="131"/>
      <c r="E37" s="66"/>
      <c r="F37" s="131"/>
      <c r="G37" s="131"/>
      <c r="H37" s="131"/>
      <c r="I37" s="131"/>
      <c r="J37" s="66"/>
      <c r="K37" s="66"/>
      <c r="L37" s="132"/>
      <c r="M37" s="133"/>
      <c r="N37" s="134"/>
      <c r="O37" s="134"/>
      <c r="P37" s="134"/>
      <c r="Q37" s="134"/>
      <c r="R37" s="135"/>
    </row>
    <row r="38" spans="1:18" s="64" customFormat="1" ht="15" customHeight="1" x14ac:dyDescent="0.25">
      <c r="A38" s="108" t="e">
        <f>IF(UC_DADOS!$B$2=0,"",UC_DADOS!$B$2)</f>
        <v>#N/A</v>
      </c>
      <c r="B38" s="113"/>
      <c r="C38" s="130"/>
      <c r="D38" s="131"/>
      <c r="E38" s="66"/>
      <c r="F38" s="131"/>
      <c r="G38" s="131"/>
      <c r="H38" s="131"/>
      <c r="I38" s="131"/>
      <c r="J38" s="66"/>
      <c r="K38" s="66"/>
      <c r="L38" s="132"/>
      <c r="M38" s="133"/>
      <c r="N38" s="134"/>
      <c r="O38" s="134"/>
      <c r="P38" s="134"/>
      <c r="Q38" s="134"/>
      <c r="R38" s="135"/>
    </row>
    <row r="39" spans="1:18" s="64" customFormat="1" ht="15" customHeight="1" x14ac:dyDescent="0.25">
      <c r="A39" s="108" t="e">
        <f>IF(UC_DADOS!$B$2=0,"",UC_DADOS!$B$2)</f>
        <v>#N/A</v>
      </c>
      <c r="B39" s="113"/>
      <c r="C39" s="130"/>
      <c r="D39" s="131"/>
      <c r="E39" s="66"/>
      <c r="F39" s="131"/>
      <c r="G39" s="131"/>
      <c r="H39" s="131"/>
      <c r="I39" s="131"/>
      <c r="J39" s="66"/>
      <c r="K39" s="66"/>
      <c r="L39" s="132"/>
      <c r="M39" s="133"/>
      <c r="N39" s="134"/>
      <c r="O39" s="134"/>
      <c r="P39" s="134"/>
      <c r="Q39" s="134"/>
      <c r="R39" s="135"/>
    </row>
    <row r="40" spans="1:18" s="64" customFormat="1" ht="15" customHeight="1" x14ac:dyDescent="0.25">
      <c r="A40" s="108" t="e">
        <f>IF(UC_DADOS!$B$2=0,"",UC_DADOS!$B$2)</f>
        <v>#N/A</v>
      </c>
      <c r="B40" s="113"/>
      <c r="C40" s="130"/>
      <c r="D40" s="131"/>
      <c r="E40" s="66"/>
      <c r="F40" s="131"/>
      <c r="G40" s="131"/>
      <c r="H40" s="131"/>
      <c r="I40" s="131"/>
      <c r="J40" s="66"/>
      <c r="K40" s="66"/>
      <c r="L40" s="132"/>
      <c r="M40" s="133"/>
      <c r="N40" s="134"/>
      <c r="O40" s="134"/>
      <c r="P40" s="134"/>
      <c r="Q40" s="134"/>
      <c r="R40" s="135"/>
    </row>
    <row r="41" spans="1:18" s="64" customFormat="1" ht="15" customHeight="1" x14ac:dyDescent="0.25">
      <c r="A41" s="108" t="e">
        <f>IF(UC_DADOS!$B$2=0,"",UC_DADOS!$B$2)</f>
        <v>#N/A</v>
      </c>
      <c r="B41" s="113"/>
      <c r="C41" s="130"/>
      <c r="D41" s="131"/>
      <c r="E41" s="66"/>
      <c r="F41" s="131"/>
      <c r="G41" s="131"/>
      <c r="H41" s="131"/>
      <c r="I41" s="131"/>
      <c r="J41" s="66"/>
      <c r="K41" s="66"/>
      <c r="L41" s="132"/>
      <c r="M41" s="133"/>
      <c r="N41" s="134"/>
      <c r="O41" s="134"/>
      <c r="P41" s="134"/>
      <c r="Q41" s="134"/>
      <c r="R41" s="135"/>
    </row>
    <row r="42" spans="1:18" s="64" customFormat="1" ht="15" customHeight="1" x14ac:dyDescent="0.25">
      <c r="A42" s="108" t="e">
        <f>IF(UC_DADOS!$B$2=0,"",UC_DADOS!$B$2)</f>
        <v>#N/A</v>
      </c>
      <c r="B42" s="113"/>
      <c r="C42" s="130"/>
      <c r="D42" s="131"/>
      <c r="E42" s="66"/>
      <c r="F42" s="131"/>
      <c r="G42" s="131"/>
      <c r="H42" s="131"/>
      <c r="I42" s="131"/>
      <c r="J42" s="66"/>
      <c r="K42" s="66"/>
      <c r="L42" s="132"/>
      <c r="M42" s="133"/>
      <c r="N42" s="134"/>
      <c r="O42" s="134"/>
      <c r="P42" s="134"/>
      <c r="Q42" s="134"/>
      <c r="R42" s="135"/>
    </row>
    <row r="43" spans="1:18" s="64" customFormat="1" ht="15" customHeight="1" x14ac:dyDescent="0.25">
      <c r="A43" s="108" t="e">
        <f>IF(UC_DADOS!$B$2=0,"",UC_DADOS!$B$2)</f>
        <v>#N/A</v>
      </c>
      <c r="B43" s="113"/>
      <c r="C43" s="130"/>
      <c r="D43" s="131"/>
      <c r="E43" s="66"/>
      <c r="F43" s="131"/>
      <c r="G43" s="131"/>
      <c r="H43" s="131"/>
      <c r="I43" s="131"/>
      <c r="J43" s="66"/>
      <c r="K43" s="66"/>
      <c r="L43" s="132"/>
      <c r="M43" s="133"/>
      <c r="N43" s="134"/>
      <c r="O43" s="134"/>
      <c r="P43" s="134"/>
      <c r="Q43" s="134"/>
      <c r="R43" s="135"/>
    </row>
    <row r="44" spans="1:18" s="64" customFormat="1" ht="15" customHeight="1" x14ac:dyDescent="0.25">
      <c r="A44" s="108" t="e">
        <f>IF(UC_DADOS!$B$2=0,"",UC_DADOS!$B$2)</f>
        <v>#N/A</v>
      </c>
      <c r="B44" s="113"/>
      <c r="C44" s="130"/>
      <c r="D44" s="131"/>
      <c r="E44" s="66"/>
      <c r="F44" s="131"/>
      <c r="G44" s="131"/>
      <c r="H44" s="131"/>
      <c r="I44" s="131"/>
      <c r="J44" s="66"/>
      <c r="K44" s="66"/>
      <c r="L44" s="132"/>
      <c r="M44" s="133"/>
      <c r="N44" s="134"/>
      <c r="O44" s="134"/>
      <c r="P44" s="134"/>
      <c r="Q44" s="134"/>
      <c r="R44" s="135"/>
    </row>
    <row r="45" spans="1:18" s="64" customFormat="1" ht="15" customHeight="1" x14ac:dyDescent="0.25">
      <c r="A45" s="108" t="e">
        <f>IF(UC_DADOS!$B$2=0,"",UC_DADOS!$B$2)</f>
        <v>#N/A</v>
      </c>
      <c r="B45" s="113"/>
      <c r="C45" s="130"/>
      <c r="D45" s="131"/>
      <c r="E45" s="66"/>
      <c r="F45" s="131"/>
      <c r="G45" s="131"/>
      <c r="H45" s="131"/>
      <c r="I45" s="131"/>
      <c r="J45" s="66"/>
      <c r="K45" s="66"/>
      <c r="L45" s="132"/>
      <c r="M45" s="133"/>
      <c r="N45" s="134"/>
      <c r="O45" s="134"/>
      <c r="P45" s="134"/>
      <c r="Q45" s="134"/>
      <c r="R45" s="135"/>
    </row>
    <row r="46" spans="1:18" s="64" customFormat="1" ht="15" customHeight="1" x14ac:dyDescent="0.25">
      <c r="A46" s="108" t="e">
        <f>IF(UC_DADOS!$B$2=0,"",UC_DADOS!$B$2)</f>
        <v>#N/A</v>
      </c>
      <c r="B46" s="113"/>
      <c r="C46" s="130"/>
      <c r="D46" s="131"/>
      <c r="E46" s="66"/>
      <c r="F46" s="131"/>
      <c r="G46" s="131"/>
      <c r="H46" s="131"/>
      <c r="I46" s="131"/>
      <c r="J46" s="66"/>
      <c r="K46" s="66"/>
      <c r="L46" s="132"/>
      <c r="M46" s="133"/>
      <c r="N46" s="134"/>
      <c r="O46" s="134"/>
      <c r="P46" s="134"/>
      <c r="Q46" s="134"/>
      <c r="R46" s="135"/>
    </row>
    <row r="47" spans="1:18" s="64" customFormat="1" ht="15" customHeight="1" x14ac:dyDescent="0.25">
      <c r="A47" s="108" t="e">
        <f>IF(UC_DADOS!$B$2=0,"",UC_DADOS!$B$2)</f>
        <v>#N/A</v>
      </c>
      <c r="B47" s="113"/>
      <c r="C47" s="130"/>
      <c r="D47" s="131"/>
      <c r="E47" s="66"/>
      <c r="F47" s="131"/>
      <c r="G47" s="131"/>
      <c r="H47" s="131"/>
      <c r="I47" s="131"/>
      <c r="J47" s="66"/>
      <c r="K47" s="66"/>
      <c r="L47" s="132"/>
      <c r="M47" s="133"/>
      <c r="N47" s="134"/>
      <c r="O47" s="134"/>
      <c r="P47" s="134"/>
      <c r="Q47" s="134"/>
      <c r="R47" s="135"/>
    </row>
    <row r="48" spans="1:18" s="64" customFormat="1" ht="15" customHeight="1" x14ac:dyDescent="0.25">
      <c r="A48" s="108" t="e">
        <f>IF(UC_DADOS!$B$2=0,"",UC_DADOS!$B$2)</f>
        <v>#N/A</v>
      </c>
      <c r="B48" s="113"/>
      <c r="C48" s="130"/>
      <c r="D48" s="131"/>
      <c r="E48" s="66"/>
      <c r="F48" s="131"/>
      <c r="G48" s="131"/>
      <c r="H48" s="131"/>
      <c r="I48" s="131"/>
      <c r="J48" s="66"/>
      <c r="K48" s="66"/>
      <c r="L48" s="132"/>
      <c r="M48" s="133"/>
      <c r="N48" s="134"/>
      <c r="O48" s="134"/>
      <c r="P48" s="134"/>
      <c r="Q48" s="134"/>
      <c r="R48" s="135"/>
    </row>
    <row r="49" spans="1:18" s="64" customFormat="1" ht="15" customHeight="1" x14ac:dyDescent="0.25">
      <c r="A49" s="108" t="e">
        <f>IF(UC_DADOS!$B$2=0,"",UC_DADOS!$B$2)</f>
        <v>#N/A</v>
      </c>
      <c r="B49" s="113"/>
      <c r="C49" s="130"/>
      <c r="D49" s="131"/>
      <c r="E49" s="66"/>
      <c r="F49" s="131"/>
      <c r="G49" s="131"/>
      <c r="H49" s="131"/>
      <c r="I49" s="131"/>
      <c r="J49" s="66"/>
      <c r="K49" s="66"/>
      <c r="L49" s="132"/>
      <c r="M49" s="133"/>
      <c r="N49" s="134"/>
      <c r="O49" s="134"/>
      <c r="P49" s="134"/>
      <c r="Q49" s="134"/>
      <c r="R49" s="135"/>
    </row>
    <row r="50" spans="1:18" s="64" customFormat="1" ht="15" customHeight="1" x14ac:dyDescent="0.25">
      <c r="A50" s="108" t="e">
        <f>IF(UC_DADOS!$B$2=0,"",UC_DADOS!$B$2)</f>
        <v>#N/A</v>
      </c>
      <c r="B50" s="113"/>
      <c r="C50" s="130"/>
      <c r="D50" s="131"/>
      <c r="E50" s="66"/>
      <c r="F50" s="131"/>
      <c r="G50" s="131"/>
      <c r="H50" s="131"/>
      <c r="I50" s="131"/>
      <c r="J50" s="66"/>
      <c r="K50" s="66"/>
      <c r="L50" s="132"/>
      <c r="M50" s="133"/>
      <c r="N50" s="134"/>
      <c r="O50" s="134"/>
      <c r="P50" s="134"/>
      <c r="Q50" s="134"/>
      <c r="R50" s="135"/>
    </row>
    <row r="51" spans="1:18" s="64" customFormat="1" ht="15" customHeight="1" x14ac:dyDescent="0.25">
      <c r="A51" s="108" t="e">
        <f>IF(UC_DADOS!$B$2=0,"",UC_DADOS!$B$2)</f>
        <v>#N/A</v>
      </c>
      <c r="B51" s="113"/>
      <c r="C51" s="130"/>
      <c r="D51" s="131"/>
      <c r="E51" s="66"/>
      <c r="F51" s="131"/>
      <c r="G51" s="131"/>
      <c r="H51" s="131"/>
      <c r="I51" s="131"/>
      <c r="J51" s="66"/>
      <c r="K51" s="66"/>
      <c r="L51" s="132"/>
      <c r="M51" s="133"/>
      <c r="N51" s="134"/>
      <c r="O51" s="134"/>
      <c r="P51" s="134"/>
      <c r="Q51" s="134"/>
      <c r="R51" s="135"/>
    </row>
    <row r="52" spans="1:18" s="64" customFormat="1" ht="15" customHeight="1" x14ac:dyDescent="0.25">
      <c r="A52" s="108" t="e">
        <f>IF(UC_DADOS!$B$2=0,"",UC_DADOS!$B$2)</f>
        <v>#N/A</v>
      </c>
      <c r="B52" s="113"/>
      <c r="C52" s="130"/>
      <c r="D52" s="131"/>
      <c r="E52" s="66"/>
      <c r="F52" s="131"/>
      <c r="G52" s="131"/>
      <c r="H52" s="131"/>
      <c r="I52" s="131"/>
      <c r="J52" s="66"/>
      <c r="K52" s="66"/>
      <c r="L52" s="132"/>
      <c r="M52" s="133"/>
      <c r="N52" s="134"/>
      <c r="O52" s="134"/>
      <c r="P52" s="134"/>
      <c r="Q52" s="134"/>
      <c r="R52" s="135"/>
    </row>
    <row r="53" spans="1:18" s="64" customFormat="1" ht="15" customHeight="1" x14ac:dyDescent="0.25">
      <c r="A53" s="108" t="e">
        <f>IF(UC_DADOS!$B$2=0,"",UC_DADOS!$B$2)</f>
        <v>#N/A</v>
      </c>
      <c r="B53" s="113"/>
      <c r="C53" s="130"/>
      <c r="D53" s="131"/>
      <c r="E53" s="66"/>
      <c r="F53" s="131"/>
      <c r="G53" s="131"/>
      <c r="H53" s="131"/>
      <c r="I53" s="131"/>
      <c r="J53" s="66"/>
      <c r="K53" s="66"/>
      <c r="L53" s="132"/>
      <c r="M53" s="133"/>
      <c r="N53" s="134"/>
      <c r="O53" s="134"/>
      <c r="P53" s="134"/>
      <c r="Q53" s="134"/>
      <c r="R53" s="135"/>
    </row>
    <row r="54" spans="1:18" s="64" customFormat="1" ht="15" customHeight="1" x14ac:dyDescent="0.25">
      <c r="A54" s="108" t="e">
        <f>IF(UC_DADOS!$B$2=0,"",UC_DADOS!$B$2)</f>
        <v>#N/A</v>
      </c>
      <c r="B54" s="113"/>
      <c r="C54" s="130"/>
      <c r="D54" s="131"/>
      <c r="E54" s="66"/>
      <c r="F54" s="131"/>
      <c r="G54" s="131"/>
      <c r="H54" s="131"/>
      <c r="I54" s="131"/>
      <c r="J54" s="66"/>
      <c r="K54" s="66"/>
      <c r="L54" s="132"/>
      <c r="M54" s="133"/>
      <c r="N54" s="134"/>
      <c r="O54" s="134"/>
      <c r="P54" s="134"/>
      <c r="Q54" s="134"/>
      <c r="R54" s="135"/>
    </row>
    <row r="55" spans="1:18" s="64" customFormat="1" ht="15" customHeight="1" x14ac:dyDescent="0.25">
      <c r="A55" s="108" t="e">
        <f>IF(UC_DADOS!$B$2=0,"",UC_DADOS!$B$2)</f>
        <v>#N/A</v>
      </c>
      <c r="B55" s="113"/>
      <c r="C55" s="130"/>
      <c r="D55" s="131"/>
      <c r="E55" s="66"/>
      <c r="F55" s="131"/>
      <c r="G55" s="131"/>
      <c r="H55" s="131"/>
      <c r="I55" s="131"/>
      <c r="J55" s="66"/>
      <c r="K55" s="66"/>
      <c r="L55" s="132"/>
      <c r="M55" s="133"/>
      <c r="N55" s="134"/>
      <c r="O55" s="134"/>
      <c r="P55" s="134"/>
      <c r="Q55" s="134"/>
      <c r="R55" s="135"/>
    </row>
    <row r="56" spans="1:18" s="64" customFormat="1" ht="15" customHeight="1" x14ac:dyDescent="0.25">
      <c r="A56" s="108" t="e">
        <f>IF(UC_DADOS!$B$2=0,"",UC_DADOS!$B$2)</f>
        <v>#N/A</v>
      </c>
      <c r="B56" s="113"/>
      <c r="C56" s="130"/>
      <c r="D56" s="131"/>
      <c r="E56" s="66"/>
      <c r="F56" s="131"/>
      <c r="G56" s="131"/>
      <c r="H56" s="131"/>
      <c r="I56" s="131"/>
      <c r="J56" s="66"/>
      <c r="K56" s="66"/>
      <c r="L56" s="132"/>
      <c r="M56" s="133"/>
      <c r="N56" s="134"/>
      <c r="O56" s="134"/>
      <c r="P56" s="134"/>
      <c r="Q56" s="134"/>
      <c r="R56" s="135"/>
    </row>
    <row r="57" spans="1:18" s="64" customFormat="1" ht="15" customHeight="1" x14ac:dyDescent="0.25">
      <c r="A57" s="108" t="e">
        <f>IF(UC_DADOS!$B$2=0,"",UC_DADOS!$B$2)</f>
        <v>#N/A</v>
      </c>
      <c r="B57" s="113"/>
      <c r="C57" s="130"/>
      <c r="D57" s="131"/>
      <c r="E57" s="66"/>
      <c r="F57" s="131"/>
      <c r="G57" s="131"/>
      <c r="H57" s="131"/>
      <c r="I57" s="131"/>
      <c r="J57" s="66"/>
      <c r="K57" s="66"/>
      <c r="L57" s="132"/>
      <c r="M57" s="133"/>
      <c r="N57" s="134"/>
      <c r="O57" s="134"/>
      <c r="P57" s="134"/>
      <c r="Q57" s="134"/>
      <c r="R57" s="135"/>
    </row>
    <row r="58" spans="1:18" s="64" customFormat="1" ht="15" customHeight="1" x14ac:dyDescent="0.25">
      <c r="A58" s="108" t="e">
        <f>IF(UC_DADOS!$B$2=0,"",UC_DADOS!$B$2)</f>
        <v>#N/A</v>
      </c>
      <c r="B58" s="113"/>
      <c r="C58" s="130"/>
      <c r="D58" s="131"/>
      <c r="E58" s="66"/>
      <c r="F58" s="131"/>
      <c r="G58" s="131"/>
      <c r="H58" s="131"/>
      <c r="I58" s="131"/>
      <c r="J58" s="66"/>
      <c r="K58" s="66"/>
      <c r="L58" s="132"/>
      <c r="M58" s="133"/>
      <c r="N58" s="134"/>
      <c r="O58" s="134"/>
      <c r="P58" s="134"/>
      <c r="Q58" s="134"/>
      <c r="R58" s="135"/>
    </row>
    <row r="59" spans="1:18" s="64" customFormat="1" ht="15" customHeight="1" x14ac:dyDescent="0.25">
      <c r="A59" s="108" t="e">
        <f>IF(UC_DADOS!$B$2=0,"",UC_DADOS!$B$2)</f>
        <v>#N/A</v>
      </c>
      <c r="B59" s="113"/>
      <c r="C59" s="130"/>
      <c r="D59" s="131"/>
      <c r="E59" s="66"/>
      <c r="F59" s="131"/>
      <c r="G59" s="131"/>
      <c r="H59" s="131"/>
      <c r="I59" s="131"/>
      <c r="J59" s="66"/>
      <c r="K59" s="66"/>
      <c r="L59" s="132"/>
      <c r="M59" s="133"/>
      <c r="N59" s="134"/>
      <c r="O59" s="134"/>
      <c r="P59" s="134"/>
      <c r="Q59" s="134"/>
      <c r="R59" s="135"/>
    </row>
    <row r="60" spans="1:18" s="64" customFormat="1" ht="15" customHeight="1" x14ac:dyDescent="0.25">
      <c r="A60" s="108" t="e">
        <f>IF(UC_DADOS!$B$2=0,"",UC_DADOS!$B$2)</f>
        <v>#N/A</v>
      </c>
      <c r="B60" s="113"/>
      <c r="C60" s="130"/>
      <c r="D60" s="131"/>
      <c r="E60" s="66"/>
      <c r="F60" s="131"/>
      <c r="G60" s="131"/>
      <c r="H60" s="131"/>
      <c r="I60" s="131"/>
      <c r="J60" s="66"/>
      <c r="K60" s="66"/>
      <c r="L60" s="132"/>
      <c r="M60" s="133"/>
      <c r="N60" s="134"/>
      <c r="O60" s="134"/>
      <c r="P60" s="134"/>
      <c r="Q60" s="134"/>
      <c r="R60" s="135"/>
    </row>
    <row r="61" spans="1:18" s="64" customFormat="1" ht="15" customHeight="1" x14ac:dyDescent="0.25">
      <c r="A61" s="108" t="e">
        <f>IF(UC_DADOS!$B$2=0,"",UC_DADOS!$B$2)</f>
        <v>#N/A</v>
      </c>
      <c r="B61" s="113"/>
      <c r="C61" s="130"/>
      <c r="D61" s="131"/>
      <c r="E61" s="66"/>
      <c r="F61" s="131"/>
      <c r="G61" s="131"/>
      <c r="H61" s="131"/>
      <c r="I61" s="131"/>
      <c r="J61" s="66"/>
      <c r="K61" s="66"/>
      <c r="L61" s="132"/>
      <c r="M61" s="133"/>
      <c r="N61" s="134"/>
      <c r="O61" s="134"/>
      <c r="P61" s="134"/>
      <c r="Q61" s="134"/>
      <c r="R61" s="135"/>
    </row>
    <row r="62" spans="1:18" s="64" customFormat="1" ht="15" customHeight="1" x14ac:dyDescent="0.25">
      <c r="A62" s="108" t="e">
        <f>IF(UC_DADOS!$B$2=0,"",UC_DADOS!$B$2)</f>
        <v>#N/A</v>
      </c>
      <c r="B62" s="113"/>
      <c r="C62" s="130"/>
      <c r="D62" s="131"/>
      <c r="E62" s="66"/>
      <c r="F62" s="131"/>
      <c r="G62" s="131"/>
      <c r="H62" s="131"/>
      <c r="I62" s="131"/>
      <c r="J62" s="66"/>
      <c r="K62" s="66"/>
      <c r="L62" s="132"/>
      <c r="M62" s="133"/>
      <c r="N62" s="134"/>
      <c r="O62" s="134"/>
      <c r="P62" s="134"/>
      <c r="Q62" s="134"/>
      <c r="R62" s="135"/>
    </row>
    <row r="63" spans="1:18" s="64" customFormat="1" ht="15" customHeight="1" x14ac:dyDescent="0.25">
      <c r="A63" s="108" t="e">
        <f>IF(UC_DADOS!$B$2=0,"",UC_DADOS!$B$2)</f>
        <v>#N/A</v>
      </c>
      <c r="B63" s="113"/>
      <c r="C63" s="130"/>
      <c r="D63" s="131"/>
      <c r="E63" s="66"/>
      <c r="F63" s="131"/>
      <c r="G63" s="131"/>
      <c r="H63" s="131"/>
      <c r="I63" s="131"/>
      <c r="J63" s="66"/>
      <c r="K63" s="66"/>
      <c r="L63" s="132"/>
      <c r="M63" s="133"/>
      <c r="N63" s="134"/>
      <c r="O63" s="134"/>
      <c r="P63" s="134"/>
      <c r="Q63" s="134"/>
      <c r="R63" s="135"/>
    </row>
    <row r="64" spans="1:18" s="64" customFormat="1" ht="15" customHeight="1" x14ac:dyDescent="0.25">
      <c r="A64" s="108" t="e">
        <f>IF(UC_DADOS!$B$2=0,"",UC_DADOS!$B$2)</f>
        <v>#N/A</v>
      </c>
      <c r="B64" s="113"/>
      <c r="C64" s="130"/>
      <c r="D64" s="131"/>
      <c r="E64" s="66"/>
      <c r="F64" s="131"/>
      <c r="G64" s="131"/>
      <c r="H64" s="131"/>
      <c r="I64" s="131"/>
      <c r="J64" s="66"/>
      <c r="K64" s="66"/>
      <c r="L64" s="132"/>
      <c r="M64" s="133"/>
      <c r="N64" s="134"/>
      <c r="O64" s="134"/>
      <c r="P64" s="134"/>
      <c r="Q64" s="134"/>
      <c r="R64" s="135"/>
    </row>
    <row r="65" spans="1:18" s="64" customFormat="1" ht="15" customHeight="1" x14ac:dyDescent="0.25">
      <c r="A65" s="108" t="e">
        <f>IF(UC_DADOS!$B$2=0,"",UC_DADOS!$B$2)</f>
        <v>#N/A</v>
      </c>
      <c r="B65" s="113"/>
      <c r="C65" s="130"/>
      <c r="D65" s="131"/>
      <c r="E65" s="66"/>
      <c r="F65" s="131"/>
      <c r="G65" s="131"/>
      <c r="H65" s="131"/>
      <c r="I65" s="131"/>
      <c r="J65" s="66"/>
      <c r="K65" s="66"/>
      <c r="L65" s="132"/>
      <c r="M65" s="133"/>
      <c r="N65" s="134"/>
      <c r="O65" s="134"/>
      <c r="P65" s="134"/>
      <c r="Q65" s="134"/>
      <c r="R65" s="135"/>
    </row>
    <row r="66" spans="1:18" s="64" customFormat="1" ht="15" customHeight="1" x14ac:dyDescent="0.25">
      <c r="A66" s="108" t="e">
        <f>IF(UC_DADOS!$B$2=0,"",UC_DADOS!$B$2)</f>
        <v>#N/A</v>
      </c>
      <c r="B66" s="113"/>
      <c r="C66" s="130"/>
      <c r="D66" s="131"/>
      <c r="E66" s="66"/>
      <c r="F66" s="131"/>
      <c r="G66" s="131"/>
      <c r="H66" s="131"/>
      <c r="I66" s="131"/>
      <c r="J66" s="66"/>
      <c r="K66" s="66"/>
      <c r="L66" s="132"/>
      <c r="M66" s="133"/>
      <c r="N66" s="134"/>
      <c r="O66" s="134"/>
      <c r="P66" s="134"/>
      <c r="Q66" s="134"/>
      <c r="R66" s="135"/>
    </row>
    <row r="67" spans="1:18" s="64" customFormat="1" ht="15" customHeight="1" x14ac:dyDescent="0.25">
      <c r="A67" s="108" t="e">
        <f>IF(UC_DADOS!$B$2=0,"",UC_DADOS!$B$2)</f>
        <v>#N/A</v>
      </c>
      <c r="B67" s="113"/>
      <c r="C67" s="130"/>
      <c r="D67" s="131"/>
      <c r="E67" s="66"/>
      <c r="F67" s="131"/>
      <c r="G67" s="131"/>
      <c r="H67" s="131"/>
      <c r="I67" s="131"/>
      <c r="J67" s="66"/>
      <c r="K67" s="66"/>
      <c r="L67" s="132"/>
      <c r="M67" s="133"/>
      <c r="N67" s="134"/>
      <c r="O67" s="134"/>
      <c r="P67" s="134"/>
      <c r="Q67" s="134"/>
      <c r="R67" s="135"/>
    </row>
    <row r="68" spans="1:18" s="64" customFormat="1" ht="15" customHeight="1" x14ac:dyDescent="0.25">
      <c r="A68" s="108" t="e">
        <f>IF(UC_DADOS!$B$2=0,"",UC_DADOS!$B$2)</f>
        <v>#N/A</v>
      </c>
      <c r="B68" s="113"/>
      <c r="C68" s="130"/>
      <c r="D68" s="131"/>
      <c r="E68" s="66"/>
      <c r="F68" s="131"/>
      <c r="G68" s="131"/>
      <c r="H68" s="131"/>
      <c r="I68" s="131"/>
      <c r="J68" s="66"/>
      <c r="K68" s="66"/>
      <c r="L68" s="132"/>
      <c r="M68" s="133"/>
      <c r="N68" s="134"/>
      <c r="O68" s="134"/>
      <c r="P68" s="134"/>
      <c r="Q68" s="134"/>
      <c r="R68" s="135"/>
    </row>
    <row r="69" spans="1:18" s="64" customFormat="1" ht="15" customHeight="1" x14ac:dyDescent="0.25">
      <c r="A69" s="108" t="e">
        <f>IF(UC_DADOS!$B$2=0,"",UC_DADOS!$B$2)</f>
        <v>#N/A</v>
      </c>
      <c r="B69" s="113"/>
      <c r="C69" s="130"/>
      <c r="D69" s="131"/>
      <c r="E69" s="66"/>
      <c r="F69" s="131"/>
      <c r="G69" s="131"/>
      <c r="H69" s="131"/>
      <c r="I69" s="131"/>
      <c r="J69" s="66"/>
      <c r="K69" s="66"/>
      <c r="L69" s="132"/>
      <c r="M69" s="133"/>
      <c r="N69" s="134"/>
      <c r="O69" s="134"/>
      <c r="P69" s="134"/>
      <c r="Q69" s="134"/>
      <c r="R69" s="135"/>
    </row>
    <row r="70" spans="1:18" s="64" customFormat="1" ht="15" customHeight="1" x14ac:dyDescent="0.25">
      <c r="A70" s="108" t="e">
        <f>IF(UC_DADOS!$B$2=0,"",UC_DADOS!$B$2)</f>
        <v>#N/A</v>
      </c>
      <c r="B70" s="113"/>
      <c r="C70" s="130"/>
      <c r="D70" s="131"/>
      <c r="E70" s="66"/>
      <c r="F70" s="131"/>
      <c r="G70" s="131"/>
      <c r="H70" s="131"/>
      <c r="I70" s="131"/>
      <c r="J70" s="66"/>
      <c r="K70" s="66"/>
      <c r="L70" s="132"/>
      <c r="M70" s="133"/>
      <c r="N70" s="134"/>
      <c r="O70" s="134"/>
      <c r="P70" s="134"/>
      <c r="Q70" s="134"/>
      <c r="R70" s="135"/>
    </row>
    <row r="71" spans="1:18" s="64" customFormat="1" ht="15" customHeight="1" x14ac:dyDescent="0.25">
      <c r="A71" s="108" t="e">
        <f>IF(UC_DADOS!$B$2=0,"",UC_DADOS!$B$2)</f>
        <v>#N/A</v>
      </c>
      <c r="B71" s="113"/>
      <c r="C71" s="130"/>
      <c r="D71" s="131"/>
      <c r="E71" s="66"/>
      <c r="F71" s="131"/>
      <c r="G71" s="131"/>
      <c r="H71" s="131"/>
      <c r="I71" s="131"/>
      <c r="J71" s="66"/>
      <c r="K71" s="66"/>
      <c r="L71" s="132"/>
      <c r="M71" s="133"/>
      <c r="N71" s="134"/>
      <c r="O71" s="134"/>
      <c r="P71" s="134"/>
      <c r="Q71" s="134"/>
      <c r="R71" s="135"/>
    </row>
    <row r="72" spans="1:18" s="64" customFormat="1" ht="15" customHeight="1" x14ac:dyDescent="0.25">
      <c r="A72" s="108" t="e">
        <f>IF(UC_DADOS!$B$2=0,"",UC_DADOS!$B$2)</f>
        <v>#N/A</v>
      </c>
      <c r="B72" s="113"/>
      <c r="C72" s="130"/>
      <c r="D72" s="131"/>
      <c r="E72" s="66"/>
      <c r="F72" s="131"/>
      <c r="G72" s="131"/>
      <c r="H72" s="131"/>
      <c r="I72" s="131"/>
      <c r="J72" s="66"/>
      <c r="K72" s="66"/>
      <c r="L72" s="132"/>
      <c r="M72" s="133"/>
      <c r="N72" s="134"/>
      <c r="O72" s="134"/>
      <c r="P72" s="134"/>
      <c r="Q72" s="134"/>
      <c r="R72" s="135"/>
    </row>
    <row r="73" spans="1:18" s="64" customFormat="1" ht="15" customHeight="1" x14ac:dyDescent="0.25">
      <c r="A73" s="108" t="e">
        <f>IF(UC_DADOS!$B$2=0,"",UC_DADOS!$B$2)</f>
        <v>#N/A</v>
      </c>
      <c r="B73" s="113"/>
      <c r="C73" s="130"/>
      <c r="D73" s="131"/>
      <c r="E73" s="66"/>
      <c r="F73" s="131"/>
      <c r="G73" s="131"/>
      <c r="H73" s="131"/>
      <c r="I73" s="131"/>
      <c r="J73" s="66"/>
      <c r="K73" s="66"/>
      <c r="L73" s="132"/>
      <c r="M73" s="133"/>
      <c r="N73" s="134"/>
      <c r="O73" s="134"/>
      <c r="P73" s="134"/>
      <c r="Q73" s="134"/>
      <c r="R73" s="135"/>
    </row>
    <row r="74" spans="1:18" s="64" customFormat="1" ht="15" customHeight="1" x14ac:dyDescent="0.25">
      <c r="A74" s="108" t="e">
        <f>IF(UC_DADOS!$B$2=0,"",UC_DADOS!$B$2)</f>
        <v>#N/A</v>
      </c>
      <c r="B74" s="113"/>
      <c r="C74" s="130"/>
      <c r="D74" s="131"/>
      <c r="E74" s="66"/>
      <c r="F74" s="131"/>
      <c r="G74" s="131"/>
      <c r="H74" s="131"/>
      <c r="I74" s="131"/>
      <c r="J74" s="66"/>
      <c r="K74" s="66"/>
      <c r="L74" s="132"/>
      <c r="M74" s="133"/>
      <c r="N74" s="134"/>
      <c r="O74" s="134"/>
      <c r="P74" s="134"/>
      <c r="Q74" s="134"/>
      <c r="R74" s="135"/>
    </row>
    <row r="75" spans="1:18" s="64" customFormat="1" ht="15" customHeight="1" x14ac:dyDescent="0.25">
      <c r="A75" s="108" t="e">
        <f>IF(UC_DADOS!$B$2=0,"",UC_DADOS!$B$2)</f>
        <v>#N/A</v>
      </c>
      <c r="B75" s="113"/>
      <c r="C75" s="130"/>
      <c r="D75" s="131"/>
      <c r="E75" s="66"/>
      <c r="F75" s="131"/>
      <c r="G75" s="131"/>
      <c r="H75" s="131"/>
      <c r="I75" s="131"/>
      <c r="J75" s="66"/>
      <c r="K75" s="66"/>
      <c r="L75" s="132"/>
      <c r="M75" s="133"/>
      <c r="N75" s="134"/>
      <c r="O75" s="134"/>
      <c r="P75" s="134"/>
      <c r="Q75" s="134"/>
      <c r="R75" s="135"/>
    </row>
    <row r="76" spans="1:18" s="64" customFormat="1" ht="15" customHeight="1" x14ac:dyDescent="0.25">
      <c r="A76" s="108" t="e">
        <f>IF(UC_DADOS!$B$2=0,"",UC_DADOS!$B$2)</f>
        <v>#N/A</v>
      </c>
      <c r="B76" s="113"/>
      <c r="C76" s="130"/>
      <c r="D76" s="131"/>
      <c r="E76" s="66"/>
      <c r="F76" s="131"/>
      <c r="G76" s="131"/>
      <c r="H76" s="131"/>
      <c r="I76" s="131"/>
      <c r="J76" s="66"/>
      <c r="K76" s="66"/>
      <c r="L76" s="132"/>
      <c r="M76" s="133"/>
      <c r="N76" s="134"/>
      <c r="O76" s="134"/>
      <c r="P76" s="134"/>
      <c r="Q76" s="134"/>
      <c r="R76" s="135"/>
    </row>
    <row r="77" spans="1:18" s="64" customFormat="1" ht="15" customHeight="1" x14ac:dyDescent="0.25">
      <c r="A77" s="108" t="e">
        <f>IF(UC_DADOS!$B$2=0,"",UC_DADOS!$B$2)</f>
        <v>#N/A</v>
      </c>
      <c r="B77" s="113"/>
      <c r="C77" s="130"/>
      <c r="D77" s="131"/>
      <c r="E77" s="66"/>
      <c r="F77" s="131"/>
      <c r="G77" s="131"/>
      <c r="H77" s="131"/>
      <c r="I77" s="131"/>
      <c r="J77" s="66"/>
      <c r="K77" s="66"/>
      <c r="L77" s="132"/>
      <c r="M77" s="133"/>
      <c r="N77" s="134"/>
      <c r="O77" s="134"/>
      <c r="P77" s="134"/>
      <c r="Q77" s="134"/>
      <c r="R77" s="135"/>
    </row>
    <row r="78" spans="1:18" s="64" customFormat="1" ht="15" customHeight="1" x14ac:dyDescent="0.25">
      <c r="A78" s="108" t="e">
        <f>IF(UC_DADOS!$B$2=0,"",UC_DADOS!$B$2)</f>
        <v>#N/A</v>
      </c>
      <c r="B78" s="113"/>
      <c r="C78" s="130"/>
      <c r="D78" s="131"/>
      <c r="E78" s="66"/>
      <c r="F78" s="131"/>
      <c r="G78" s="131"/>
      <c r="H78" s="131"/>
      <c r="I78" s="131"/>
      <c r="J78" s="66"/>
      <c r="K78" s="66"/>
      <c r="L78" s="132"/>
      <c r="M78" s="133"/>
      <c r="N78" s="134"/>
      <c r="O78" s="134"/>
      <c r="P78" s="134"/>
      <c r="Q78" s="134"/>
      <c r="R78" s="135"/>
    </row>
    <row r="79" spans="1:18" s="64" customFormat="1" ht="15" customHeight="1" x14ac:dyDescent="0.25">
      <c r="A79" s="108" t="e">
        <f>IF(UC_DADOS!$B$2=0,"",UC_DADOS!$B$2)</f>
        <v>#N/A</v>
      </c>
      <c r="B79" s="113"/>
      <c r="C79" s="130"/>
      <c r="D79" s="131"/>
      <c r="E79" s="66"/>
      <c r="F79" s="131"/>
      <c r="G79" s="131"/>
      <c r="H79" s="131"/>
      <c r="I79" s="131"/>
      <c r="J79" s="66"/>
      <c r="K79" s="66"/>
      <c r="L79" s="132"/>
      <c r="M79" s="133"/>
      <c r="N79" s="134"/>
      <c r="O79" s="134"/>
      <c r="P79" s="134"/>
      <c r="Q79" s="134"/>
      <c r="R79" s="135"/>
    </row>
    <row r="80" spans="1:18" s="64" customFormat="1" ht="15" customHeight="1" x14ac:dyDescent="0.25">
      <c r="A80" s="108" t="e">
        <f>IF(UC_DADOS!$B$2=0,"",UC_DADOS!$B$2)</f>
        <v>#N/A</v>
      </c>
      <c r="B80" s="113"/>
      <c r="C80" s="130"/>
      <c r="D80" s="131"/>
      <c r="E80" s="66"/>
      <c r="F80" s="131"/>
      <c r="G80" s="131"/>
      <c r="H80" s="131"/>
      <c r="I80" s="131"/>
      <c r="J80" s="66"/>
      <c r="K80" s="66"/>
      <c r="L80" s="132"/>
      <c r="M80" s="133"/>
      <c r="N80" s="134"/>
      <c r="O80" s="134"/>
      <c r="P80" s="134"/>
      <c r="Q80" s="134"/>
      <c r="R80" s="135"/>
    </row>
    <row r="81" spans="1:18" s="64" customFormat="1" ht="15" customHeight="1" x14ac:dyDescent="0.25">
      <c r="A81" s="108" t="e">
        <f>IF(UC_DADOS!$B$2=0,"",UC_DADOS!$B$2)</f>
        <v>#N/A</v>
      </c>
      <c r="B81" s="113"/>
      <c r="C81" s="130"/>
      <c r="D81" s="131"/>
      <c r="E81" s="66"/>
      <c r="F81" s="131"/>
      <c r="G81" s="131"/>
      <c r="H81" s="131"/>
      <c r="I81" s="131"/>
      <c r="J81" s="66"/>
      <c r="K81" s="66"/>
      <c r="L81" s="132"/>
      <c r="M81" s="133"/>
      <c r="N81" s="134"/>
      <c r="O81" s="134"/>
      <c r="P81" s="134"/>
      <c r="Q81" s="134"/>
      <c r="R81" s="135"/>
    </row>
    <row r="82" spans="1:18" s="64" customFormat="1" ht="15" customHeight="1" x14ac:dyDescent="0.25">
      <c r="A82" s="108" t="e">
        <f>IF(UC_DADOS!$B$2=0,"",UC_DADOS!$B$2)</f>
        <v>#N/A</v>
      </c>
      <c r="B82" s="113"/>
      <c r="C82" s="130"/>
      <c r="D82" s="131"/>
      <c r="E82" s="66"/>
      <c r="F82" s="131"/>
      <c r="G82" s="131"/>
      <c r="H82" s="131"/>
      <c r="I82" s="131"/>
      <c r="J82" s="66"/>
      <c r="K82" s="66"/>
      <c r="L82" s="132"/>
      <c r="M82" s="133"/>
      <c r="N82" s="134"/>
      <c r="O82" s="134"/>
      <c r="P82" s="134"/>
      <c r="Q82" s="134"/>
      <c r="R82" s="135"/>
    </row>
    <row r="83" spans="1:18" s="64" customFormat="1" ht="15" customHeight="1" x14ac:dyDescent="0.25">
      <c r="A83" s="108" t="e">
        <f>IF(UC_DADOS!$B$2=0,"",UC_DADOS!$B$2)</f>
        <v>#N/A</v>
      </c>
      <c r="B83" s="113"/>
      <c r="C83" s="130"/>
      <c r="D83" s="131"/>
      <c r="E83" s="66"/>
      <c r="F83" s="131"/>
      <c r="G83" s="131"/>
      <c r="H83" s="131"/>
      <c r="I83" s="131"/>
      <c r="J83" s="66"/>
      <c r="K83" s="66"/>
      <c r="L83" s="132"/>
      <c r="M83" s="133"/>
      <c r="N83" s="134"/>
      <c r="O83" s="134"/>
      <c r="P83" s="134"/>
      <c r="Q83" s="134"/>
      <c r="R83" s="135"/>
    </row>
    <row r="84" spans="1:18" s="64" customFormat="1" ht="15" customHeight="1" x14ac:dyDescent="0.25">
      <c r="A84" s="108" t="e">
        <f>IF(UC_DADOS!$B$2=0,"",UC_DADOS!$B$2)</f>
        <v>#N/A</v>
      </c>
      <c r="B84" s="113"/>
      <c r="C84" s="130"/>
      <c r="D84" s="131"/>
      <c r="E84" s="66"/>
      <c r="F84" s="131"/>
      <c r="G84" s="131"/>
      <c r="H84" s="131"/>
      <c r="I84" s="131"/>
      <c r="J84" s="66"/>
      <c r="K84" s="66"/>
      <c r="L84" s="132"/>
      <c r="M84" s="133"/>
      <c r="N84" s="134"/>
      <c r="O84" s="134"/>
      <c r="P84" s="134"/>
      <c r="Q84" s="134"/>
      <c r="R84" s="135"/>
    </row>
    <row r="85" spans="1:18" s="64" customFormat="1" ht="15" customHeight="1" x14ac:dyDescent="0.25">
      <c r="A85" s="108" t="e">
        <f>IF(UC_DADOS!$B$2=0,"",UC_DADOS!$B$2)</f>
        <v>#N/A</v>
      </c>
      <c r="B85" s="113"/>
      <c r="C85" s="130"/>
      <c r="D85" s="131"/>
      <c r="E85" s="66"/>
      <c r="F85" s="131"/>
      <c r="G85" s="131"/>
      <c r="H85" s="131"/>
      <c r="I85" s="131"/>
      <c r="J85" s="66"/>
      <c r="K85" s="66"/>
      <c r="L85" s="132"/>
      <c r="M85" s="133"/>
      <c r="N85" s="134"/>
      <c r="O85" s="134"/>
      <c r="P85" s="134"/>
      <c r="Q85" s="134"/>
      <c r="R85" s="135"/>
    </row>
    <row r="86" spans="1:18" s="64" customFormat="1" ht="15" customHeight="1" x14ac:dyDescent="0.25">
      <c r="A86" s="108" t="e">
        <f>IF(UC_DADOS!$B$2=0,"",UC_DADOS!$B$2)</f>
        <v>#N/A</v>
      </c>
      <c r="B86" s="113"/>
      <c r="C86" s="130"/>
      <c r="D86" s="131"/>
      <c r="E86" s="66"/>
      <c r="F86" s="131"/>
      <c r="G86" s="131"/>
      <c r="H86" s="131"/>
      <c r="I86" s="131"/>
      <c r="J86" s="66"/>
      <c r="K86" s="66"/>
      <c r="L86" s="132"/>
      <c r="M86" s="133"/>
      <c r="N86" s="134"/>
      <c r="O86" s="134"/>
      <c r="P86" s="134"/>
      <c r="Q86" s="134"/>
      <c r="R86" s="135"/>
    </row>
    <row r="87" spans="1:18" s="64" customFormat="1" ht="15" customHeight="1" x14ac:dyDescent="0.25">
      <c r="A87" s="108" t="e">
        <f>IF(UC_DADOS!$B$2=0,"",UC_DADOS!$B$2)</f>
        <v>#N/A</v>
      </c>
      <c r="B87" s="113"/>
      <c r="C87" s="130"/>
      <c r="D87" s="131"/>
      <c r="E87" s="66"/>
      <c r="F87" s="131"/>
      <c r="G87" s="131"/>
      <c r="H87" s="131"/>
      <c r="I87" s="131"/>
      <c r="J87" s="66"/>
      <c r="K87" s="66"/>
      <c r="L87" s="132"/>
      <c r="M87" s="133"/>
      <c r="N87" s="134"/>
      <c r="O87" s="134"/>
      <c r="P87" s="134"/>
      <c r="Q87" s="134"/>
      <c r="R87" s="135"/>
    </row>
    <row r="88" spans="1:18" s="64" customFormat="1" ht="15" customHeight="1" x14ac:dyDescent="0.25">
      <c r="A88" s="108" t="e">
        <f>IF(UC_DADOS!$B$2=0,"",UC_DADOS!$B$2)</f>
        <v>#N/A</v>
      </c>
      <c r="B88" s="113"/>
      <c r="C88" s="130"/>
      <c r="D88" s="131"/>
      <c r="E88" s="66"/>
      <c r="F88" s="131"/>
      <c r="G88" s="131"/>
      <c r="H88" s="131"/>
      <c r="I88" s="131"/>
      <c r="J88" s="66"/>
      <c r="K88" s="66"/>
      <c r="L88" s="132"/>
      <c r="M88" s="133"/>
      <c r="N88" s="134"/>
      <c r="O88" s="134"/>
      <c r="P88" s="134"/>
      <c r="Q88" s="134"/>
      <c r="R88" s="135"/>
    </row>
    <row r="89" spans="1:18" s="64" customFormat="1" ht="15" customHeight="1" x14ac:dyDescent="0.25">
      <c r="A89" s="108" t="e">
        <f>IF(UC_DADOS!$B$2=0,"",UC_DADOS!$B$2)</f>
        <v>#N/A</v>
      </c>
      <c r="B89" s="113"/>
      <c r="C89" s="130"/>
      <c r="D89" s="131"/>
      <c r="E89" s="66"/>
      <c r="F89" s="131"/>
      <c r="G89" s="131"/>
      <c r="H89" s="131"/>
      <c r="I89" s="131"/>
      <c r="J89" s="66"/>
      <c r="K89" s="66"/>
      <c r="L89" s="132"/>
      <c r="M89" s="133"/>
      <c r="N89" s="134"/>
      <c r="O89" s="134"/>
      <c r="P89" s="134"/>
      <c r="Q89" s="134"/>
      <c r="R89" s="135"/>
    </row>
    <row r="90" spans="1:18" s="64" customFormat="1" ht="15" customHeight="1" x14ac:dyDescent="0.25">
      <c r="A90" s="108" t="e">
        <f>IF(UC_DADOS!$B$2=0,"",UC_DADOS!$B$2)</f>
        <v>#N/A</v>
      </c>
      <c r="B90" s="113"/>
      <c r="C90" s="130"/>
      <c r="D90" s="131"/>
      <c r="E90" s="66"/>
      <c r="F90" s="131"/>
      <c r="G90" s="131"/>
      <c r="H90" s="131"/>
      <c r="I90" s="131"/>
      <c r="J90" s="66"/>
      <c r="K90" s="66"/>
      <c r="L90" s="132"/>
      <c r="M90" s="133"/>
      <c r="N90" s="134"/>
      <c r="O90" s="134"/>
      <c r="P90" s="134"/>
      <c r="Q90" s="134"/>
      <c r="R90" s="135"/>
    </row>
    <row r="91" spans="1:18" s="64" customFormat="1" ht="15" customHeight="1" x14ac:dyDescent="0.25">
      <c r="A91" s="108" t="e">
        <f>IF(UC_DADOS!$B$2=0,"",UC_DADOS!$B$2)</f>
        <v>#N/A</v>
      </c>
      <c r="B91" s="113"/>
      <c r="C91" s="130"/>
      <c r="D91" s="131"/>
      <c r="E91" s="66"/>
      <c r="F91" s="131"/>
      <c r="G91" s="131"/>
      <c r="H91" s="131"/>
      <c r="I91" s="131"/>
      <c r="J91" s="66"/>
      <c r="K91" s="66"/>
      <c r="L91" s="132"/>
      <c r="M91" s="133"/>
      <c r="N91" s="134"/>
      <c r="O91" s="134"/>
      <c r="P91" s="134"/>
      <c r="Q91" s="134"/>
      <c r="R91" s="135"/>
    </row>
    <row r="92" spans="1:18" s="64" customFormat="1" ht="15" customHeight="1" x14ac:dyDescent="0.25">
      <c r="A92" s="108" t="e">
        <f>IF(UC_DADOS!$B$2=0,"",UC_DADOS!$B$2)</f>
        <v>#N/A</v>
      </c>
      <c r="B92" s="113"/>
      <c r="C92" s="130"/>
      <c r="D92" s="131"/>
      <c r="E92" s="66"/>
      <c r="F92" s="131"/>
      <c r="G92" s="131"/>
      <c r="H92" s="131"/>
      <c r="I92" s="131"/>
      <c r="J92" s="66"/>
      <c r="K92" s="66"/>
      <c r="L92" s="132"/>
      <c r="M92" s="133"/>
      <c r="N92" s="134"/>
      <c r="O92" s="134"/>
      <c r="P92" s="134"/>
      <c r="Q92" s="134"/>
      <c r="R92" s="135"/>
    </row>
    <row r="93" spans="1:18" s="64" customFormat="1" ht="15" customHeight="1" x14ac:dyDescent="0.25">
      <c r="A93" s="108" t="e">
        <f>IF(UC_DADOS!$B$2=0,"",UC_DADOS!$B$2)</f>
        <v>#N/A</v>
      </c>
      <c r="B93" s="113"/>
      <c r="C93" s="130"/>
      <c r="D93" s="131"/>
      <c r="E93" s="66"/>
      <c r="F93" s="131"/>
      <c r="G93" s="131"/>
      <c r="H93" s="131"/>
      <c r="I93" s="131"/>
      <c r="J93" s="66"/>
      <c r="K93" s="66"/>
      <c r="L93" s="132"/>
      <c r="M93" s="133"/>
      <c r="N93" s="134"/>
      <c r="O93" s="134"/>
      <c r="P93" s="134"/>
      <c r="Q93" s="134"/>
      <c r="R93" s="135"/>
    </row>
    <row r="94" spans="1:18" s="64" customFormat="1" ht="15" customHeight="1" x14ac:dyDescent="0.25">
      <c r="A94" s="108" t="e">
        <f>IF(UC_DADOS!$B$2=0,"",UC_DADOS!$B$2)</f>
        <v>#N/A</v>
      </c>
      <c r="B94" s="113"/>
      <c r="C94" s="130"/>
      <c r="D94" s="131"/>
      <c r="E94" s="66"/>
      <c r="F94" s="131"/>
      <c r="G94" s="131"/>
      <c r="H94" s="131"/>
      <c r="I94" s="131"/>
      <c r="J94" s="66"/>
      <c r="K94" s="66"/>
      <c r="L94" s="132"/>
      <c r="M94" s="133"/>
      <c r="N94" s="134"/>
      <c r="O94" s="134"/>
      <c r="P94" s="134"/>
      <c r="Q94" s="134"/>
      <c r="R94" s="135"/>
    </row>
    <row r="95" spans="1:18" s="64" customFormat="1" ht="15" customHeight="1" x14ac:dyDescent="0.25">
      <c r="A95" s="108" t="e">
        <f>IF(UC_DADOS!$B$2=0,"",UC_DADOS!$B$2)</f>
        <v>#N/A</v>
      </c>
      <c r="B95" s="113"/>
      <c r="C95" s="130"/>
      <c r="D95" s="131"/>
      <c r="E95" s="66"/>
      <c r="F95" s="131"/>
      <c r="G95" s="131"/>
      <c r="H95" s="131"/>
      <c r="I95" s="131"/>
      <c r="J95" s="66"/>
      <c r="K95" s="66"/>
      <c r="L95" s="132"/>
      <c r="M95" s="133"/>
      <c r="N95" s="134"/>
      <c r="O95" s="134"/>
      <c r="P95" s="134"/>
      <c r="Q95" s="134"/>
      <c r="R95" s="135"/>
    </row>
    <row r="96" spans="1:18" s="64" customFormat="1" ht="15" customHeight="1" x14ac:dyDescent="0.25">
      <c r="A96" s="108" t="e">
        <f>IF(UC_DADOS!$B$2=0,"",UC_DADOS!$B$2)</f>
        <v>#N/A</v>
      </c>
      <c r="B96" s="113"/>
      <c r="C96" s="130"/>
      <c r="D96" s="131"/>
      <c r="E96" s="66"/>
      <c r="F96" s="131"/>
      <c r="G96" s="131"/>
      <c r="H96" s="131"/>
      <c r="I96" s="131"/>
      <c r="J96" s="66"/>
      <c r="K96" s="66"/>
      <c r="L96" s="132"/>
      <c r="M96" s="133"/>
      <c r="N96" s="134"/>
      <c r="O96" s="134"/>
      <c r="P96" s="134"/>
      <c r="Q96" s="134"/>
      <c r="R96" s="135"/>
    </row>
    <row r="97" spans="1:18" s="64" customFormat="1" ht="15" customHeight="1" x14ac:dyDescent="0.25">
      <c r="A97" s="108" t="e">
        <f>IF(UC_DADOS!$B$2=0,"",UC_DADOS!$B$2)</f>
        <v>#N/A</v>
      </c>
      <c r="B97" s="113"/>
      <c r="C97" s="130"/>
      <c r="D97" s="131"/>
      <c r="E97" s="66"/>
      <c r="F97" s="131"/>
      <c r="G97" s="131"/>
      <c r="H97" s="131"/>
      <c r="I97" s="131"/>
      <c r="J97" s="66"/>
      <c r="K97" s="66"/>
      <c r="L97" s="132"/>
      <c r="M97" s="133"/>
      <c r="N97" s="134"/>
      <c r="O97" s="134"/>
      <c r="P97" s="134"/>
      <c r="Q97" s="134"/>
      <c r="R97" s="135"/>
    </row>
    <row r="98" spans="1:18" s="64" customFormat="1" ht="15" customHeight="1" x14ac:dyDescent="0.25">
      <c r="A98" s="108" t="e">
        <f>IF(UC_DADOS!$B$2=0,"",UC_DADOS!$B$2)</f>
        <v>#N/A</v>
      </c>
      <c r="B98" s="113"/>
      <c r="C98" s="130"/>
      <c r="D98" s="131"/>
      <c r="E98" s="66"/>
      <c r="F98" s="131"/>
      <c r="G98" s="131"/>
      <c r="H98" s="131"/>
      <c r="I98" s="131"/>
      <c r="J98" s="66"/>
      <c r="K98" s="66"/>
      <c r="L98" s="132"/>
      <c r="M98" s="133"/>
      <c r="N98" s="134"/>
      <c r="O98" s="134"/>
      <c r="P98" s="134"/>
      <c r="Q98" s="134"/>
      <c r="R98" s="135"/>
    </row>
    <row r="99" spans="1:18" s="64" customFormat="1" ht="15" customHeight="1" x14ac:dyDescent="0.25">
      <c r="A99" s="108" t="e">
        <f>IF(UC_DADOS!$B$2=0,"",UC_DADOS!$B$2)</f>
        <v>#N/A</v>
      </c>
      <c r="B99" s="113"/>
      <c r="C99" s="130"/>
      <c r="D99" s="131"/>
      <c r="E99" s="66"/>
      <c r="F99" s="131"/>
      <c r="G99" s="131"/>
      <c r="H99" s="131"/>
      <c r="I99" s="131"/>
      <c r="J99" s="66"/>
      <c r="K99" s="66"/>
      <c r="L99" s="132"/>
      <c r="M99" s="133"/>
      <c r="N99" s="134"/>
      <c r="O99" s="134"/>
      <c r="P99" s="134"/>
      <c r="Q99" s="134"/>
      <c r="R99" s="135"/>
    </row>
    <row r="100" spans="1:18" s="64" customFormat="1" ht="15" customHeight="1" x14ac:dyDescent="0.25">
      <c r="A100" s="108" t="e">
        <f>IF(UC_DADOS!$B$2=0,"",UC_DADOS!$B$2)</f>
        <v>#N/A</v>
      </c>
      <c r="B100" s="113"/>
      <c r="C100" s="130"/>
      <c r="D100" s="131"/>
      <c r="E100" s="66"/>
      <c r="F100" s="131"/>
      <c r="G100" s="131"/>
      <c r="H100" s="131"/>
      <c r="I100" s="131"/>
      <c r="J100" s="66"/>
      <c r="K100" s="66"/>
      <c r="L100" s="132"/>
      <c r="M100" s="133"/>
      <c r="N100" s="134"/>
      <c r="O100" s="134"/>
      <c r="P100" s="134"/>
      <c r="Q100" s="134"/>
      <c r="R100" s="135"/>
    </row>
  </sheetData>
  <mergeCells count="3">
    <mergeCell ref="C1:L1"/>
    <mergeCell ref="M1:R1"/>
    <mergeCell ref="A1:B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1</vt:i4>
      </vt:variant>
    </vt:vector>
  </HeadingPairs>
  <TitlesOfParts>
    <vt:vector size="16" baseType="lpstr">
      <vt:lpstr>Tabela de Transferência</vt:lpstr>
      <vt:lpstr>UC_DADOS</vt:lpstr>
      <vt:lpstr>FATURAS</vt:lpstr>
      <vt:lpstr>Sistemas de Cond. Ambiental</vt:lpstr>
      <vt:lpstr>Sistemas de Iluminação</vt:lpstr>
      <vt:lpstr>Sistemas de Refrigeração</vt:lpstr>
      <vt:lpstr>Sistemas Outros</vt:lpstr>
      <vt:lpstr>Sistemas de Motor</vt:lpstr>
      <vt:lpstr>TABELAS_RESUMO</vt:lpstr>
      <vt:lpstr>TABELAS_RESUMO_2</vt:lpstr>
      <vt:lpstr>CONSUMO_EQP</vt:lpstr>
      <vt:lpstr>Análise Econômica</vt:lpstr>
      <vt:lpstr>EQUIPAMENTOS_EFICIENTES (BDD)</vt:lpstr>
      <vt:lpstr>Sistemas de Aquecimento de Água</vt:lpstr>
      <vt:lpstr>Sistemas Solar Fotovoltaico</vt:lpstr>
      <vt:lpstr>'Sistemas de Cond. Ambiental'!Área_de_Impressão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Carvalho</dc:creator>
  <cp:keywords/>
  <dc:description/>
  <cp:lastModifiedBy>Andre Carvalho</cp:lastModifiedBy>
  <cp:revision>4</cp:revision>
  <dcterms:created xsi:type="dcterms:W3CDTF">2026-03-24T14:02:37Z</dcterms:created>
  <dcterms:modified xsi:type="dcterms:W3CDTF">2026-06-26T22:22:15Z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0x010100F35E155736BC1343AE28F53AD643AEE3</vt:lpwstr>
  </property>
  <property fmtid="{D5CDD505-2E9C-101B-9397-08002B2CF9AE}" pid="3" name="MediaServiceImageTags">
    <vt:lpwstr/>
  </property>
</Properties>
</file>